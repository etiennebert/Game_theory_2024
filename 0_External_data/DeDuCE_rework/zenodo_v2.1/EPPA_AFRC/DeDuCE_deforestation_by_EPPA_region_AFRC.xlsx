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eriods" sheetId="2" state="visible" r:id="rId4"/>
    <sheet name="rates_ha_per_yr" sheetId="3" state="visible" r:id="rId5"/>
    <sheet name="cumulative_ha" sheetId="4" state="visible" r:id="rId6"/>
    <sheet name="region_annual_ha" sheetId="5" state="visible" r:id="rId7"/>
    <sheet name="country_annual_ha" sheetId="6" state="visible" r:id="rId8"/>
    <sheet name="country_mapp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<sst xmlns="http://schemas.openxmlformats.org/spreadsheetml/2006/main" count="4313" uniqueCount="620">
  <si>
    <t xml:space="preserve">Deforestation attributed to cropland, pasture and forest-plantation expansion, by EPPA region (AFRC aggregation)</t>
  </si>
  <si>
    <t xml:space="preserve">Source: DeDuCE v2.1 - Singh, C., Persson, U. M., Croft, S., Kastner, T. &amp; West, C. D. (2024). Commodity-driven deforestation, associated carbon emissions and trade 2001-2023 (Version 2.1) [Dataset]. Zenodo. https://doi.org/10.5281/zenodo.10633818</t>
  </si>
  <si>
    <t xml:space="preserve">Method: Singh, C. &amp; Persson, U. M. (2026). Global patterns of commodity-driven deforestation and associated carbon emissions. Nature Food 7, 138-151. https://doi.org/10.1038/s43016-026-01305-4</t>
  </si>
  <si>
    <t xml:space="preserve">File used: 'DeDuCE_Deforestation attributed to agricultural and forestry commodities (2001-2023).xlsx', column 'Deforestation attribution, unamortized (ha)':</t>
  </si>
  <si>
    <t xml:space="preserve">   the forest loss of each year (Hansen/GFC loss, DeDuCE's forest definition) attributed to the land use that replaced it. Gross loss, no regrowth netted out.</t>
  </si>
  <si>
    <t xml:space="preserve">   Not the 5-year amortized 'deforestation risk' column, which spreads each year's loss over the following five years of production.</t>
  </si>
  <si>
    <t xml:space="preserve">Categories (sheet country_annual_ha, column category):</t>
  </si>
  <si>
    <t xml:space="preserve">   crop = all DeDuCE crop groups (cereals, oilseeds, fruit and nuts, vegetables, roots and tubers, pulses, stimulant and spice crops, fibre crops, sugar crops)</t>
  </si>
  <si>
    <t xml:space="preserve">   live = DeDuCE group 'Pasture' (cattle meat and leather)</t>
  </si>
  <si>
    <t xml:space="preserve">   fors = DeDuCE group 'Forest plantation'</t>
  </si>
  <si>
    <t xml:space="preserve">Regions: the 28 EPPA regions of eppa_afrc_regions_countries.csv. Countries with their own GTAP code are assigned directly; the 46 DeDuCE countries without one</t>
  </si>
  <si>
    <t xml:space="preserve">   go to the EPPA region holding their GTAP residual region (sheet country_mapping, column basis). Two DeDuCE composites: 'SRB and MNE' (2001-2005) -&gt; ROE;</t>
  </si>
  <si>
    <t xml:space="preserve">   'SDN and SSD' (2001-2011) -&gt; AF12 (XEC), because 99 % of the post-2012 loss of the pair is in South Sudan (Sudan alone: 10-90 ha/yr).</t>
  </si>
  <si>
    <t xml:space="preserve">   French overseas departments (GUF, REU, GLP, MTQ) go with France (EUR), as in GTAP.</t>
  </si>
  <si>
    <t xml:space="preserve">Periods (sheet periods, editable): a period 'A-B' covers the years A+1 to B, so the four periods do not overlap: 2008-2010, 2011-2015, 2016-2020, 2021-2023.</t>
  </si>
  <si>
    <t xml:space="preserve">   rates_ha_per_yr = average annual hectares over the period's years; cumulative_ha = the sum over the period's years. Both are formulas over region_annual_ha,</t>
  </si>
  <si>
    <t xml:space="preserve">   which is itself SUMIFS over country_annual_ha (the raw data): change a period's first or last year in 'periods' and every table follows.</t>
  </si>
  <si>
    <t xml:space="preserve">Units: hectares. World rows are the sum of the 28 regions and equal DeDuCE's world total.</t>
  </si>
  <si>
    <t xml:space="preserve">Built 2026-10-06 from the Zenodo file downloaded 2026-09-18 (folder zenodo_v2.1), script build_eppa_defor.py.</t>
  </si>
  <si>
    <t xml:space="preserve">period</t>
  </si>
  <si>
    <t xml:space="preserve">first year</t>
  </si>
  <si>
    <t xml:space="preserve">last year</t>
  </si>
  <si>
    <t xml:space="preserve">years</t>
  </si>
  <si>
    <t xml:space="preserve">2007-2010</t>
  </si>
  <si>
    <t xml:space="preserve">2010-2015</t>
  </si>
  <si>
    <t xml:space="preserve">2015-2020</t>
  </si>
  <si>
    <t xml:space="preserve">2020-2023</t>
  </si>
  <si>
    <t xml:space="preserve">Blue cells are inputs: 'A-B' = years A+1 to B. Edit first/last year and the rate and cumulative sheets recompute.</t>
  </si>
  <si>
    <t xml:space="preserve">EPPA region</t>
  </si>
  <si>
    <t xml:space="preserve">region name</t>
  </si>
  <si>
    <t xml:space="preserve">hectares per year, average over the period's years</t>
  </si>
  <si>
    <t xml:space="preserve">USA</t>
  </si>
  <si>
    <t xml:space="preserve">United States of America</t>
  </si>
  <si>
    <t xml:space="preserve">CAN</t>
  </si>
  <si>
    <t xml:space="preserve">Canada</t>
  </si>
  <si>
    <t xml:space="preserve">MEX</t>
  </si>
  <si>
    <t xml:space="preserve">Mexico</t>
  </si>
  <si>
    <t xml:space="preserve">JPN</t>
  </si>
  <si>
    <t xml:space="preserve">Japan</t>
  </si>
  <si>
    <t xml:space="preserve">ANZ</t>
  </si>
  <si>
    <t xml:space="preserve">Australia and New Zealand (+ rest of Oceania and rest of the world)</t>
  </si>
  <si>
    <t xml:space="preserve">EUR</t>
  </si>
  <si>
    <t xml:space="preserve">European Union 28 + EFTA</t>
  </si>
  <si>
    <t xml:space="preserve">ROE</t>
  </si>
  <si>
    <t xml:space="preserve">Rest of Europe and Central Asia (incl. Turkey)</t>
  </si>
  <si>
    <t xml:space="preserve">RUS</t>
  </si>
  <si>
    <t xml:space="preserve">Russia</t>
  </si>
  <si>
    <t xml:space="preserve">ASI</t>
  </si>
  <si>
    <t xml:space="preserve">Dynamic Asia (Southeast Asia)</t>
  </si>
  <si>
    <t xml:space="preserve">CHN</t>
  </si>
  <si>
    <t xml:space="preserve">China and Hong Kong</t>
  </si>
  <si>
    <t xml:space="preserve">IND</t>
  </si>
  <si>
    <t xml:space="preserve">India</t>
  </si>
  <si>
    <t xml:space="preserve">BRA</t>
  </si>
  <si>
    <t xml:space="preserve">Brazil</t>
  </si>
  <si>
    <t xml:space="preserve">AF1</t>
  </si>
  <si>
    <t xml:space="preserve">North Africa (Maghreb + Egypt)</t>
  </si>
  <si>
    <t xml:space="preserve">AF2</t>
  </si>
  <si>
    <t xml:space="preserve">Sahel and francophone West Africa (Benin-Niger belt)</t>
  </si>
  <si>
    <t xml:space="preserve">AF3</t>
  </si>
  <si>
    <t xml:space="preserve">Gabon + Sao Tome + Botswana + Namibia (non-contiguous)</t>
  </si>
  <si>
    <t xml:space="preserve">AF4</t>
  </si>
  <si>
    <t xml:space="preserve">East Africa and Zambezi belt (Zambia moved to AF6 in AFRC)</t>
  </si>
  <si>
    <t xml:space="preserve">AF5</t>
  </si>
  <si>
    <t xml:space="preserve">Chad-CAR-Sudan-Ethiopia corridor</t>
  </si>
  <si>
    <t xml:space="preserve">AF6</t>
  </si>
  <si>
    <t xml:space="preserve">Congo basin + Zambia Copperbelt</t>
  </si>
  <si>
    <t xml:space="preserve">AF7</t>
  </si>
  <si>
    <t xml:space="preserve">Gulf of Guinea cocoa belt (Cote d'Ivoire + Cameroon + Ghana)</t>
  </si>
  <si>
    <t xml:space="preserve">AF9</t>
  </si>
  <si>
    <t xml:space="preserve">South Africa + SACU rest</t>
  </si>
  <si>
    <t xml:space="preserve">AF10</t>
  </si>
  <si>
    <t xml:space="preserve">Nigeria</t>
  </si>
  <si>
    <t xml:space="preserve">AF11</t>
  </si>
  <si>
    <t xml:space="preserve">Angola</t>
  </si>
  <si>
    <t xml:space="preserve">AF12</t>
  </si>
  <si>
    <t xml:space="preserve">Horn of Africa rest (XEC)</t>
  </si>
  <si>
    <t xml:space="preserve">MES</t>
  </si>
  <si>
    <t xml:space="preserve">Middle East</t>
  </si>
  <si>
    <t xml:space="preserve">LAM</t>
  </si>
  <si>
    <t xml:space="preserve">Latin America (excl. Brazil and Mexico)</t>
  </si>
  <si>
    <t xml:space="preserve">REA</t>
  </si>
  <si>
    <t xml:space="preserve">Rest of Asia (South and Southeast Asia rest, Mongolia)</t>
  </si>
  <si>
    <t xml:space="preserve">KOR</t>
  </si>
  <si>
    <t xml:space="preserve">Korea</t>
  </si>
  <si>
    <t xml:space="preserve">IDZ</t>
  </si>
  <si>
    <t xml:space="preserve">Indonesia</t>
  </si>
  <si>
    <t xml:space="preserve">World</t>
  </si>
  <si>
    <t xml:space="preserve">sum of the 28 regions</t>
  </si>
  <si>
    <t xml:space="preserve">hectares, sum over the period's years</t>
  </si>
  <si>
    <t xml:space="preserve">category</t>
  </si>
  <si>
    <t xml:space="preserve">crop</t>
  </si>
  <si>
    <t xml:space="preserve">live</t>
  </si>
  <si>
    <t xml:space="preserve">fors</t>
  </si>
  <si>
    <t xml:space="preserve">ISO</t>
  </si>
  <si>
    <t xml:space="preserve">country</t>
  </si>
  <si>
    <t xml:space="preserve">DeDuCE continent group</t>
  </si>
  <si>
    <t xml:space="preserve">AFG</t>
  </si>
  <si>
    <t xml:space="preserve">Afghanistan</t>
  </si>
  <si>
    <t xml:space="preserve">Rest of Asia</t>
  </si>
  <si>
    <t xml:space="preserve">AGO</t>
  </si>
  <si>
    <t xml:space="preserve">Africa</t>
  </si>
  <si>
    <t xml:space="preserve">ALB</t>
  </si>
  <si>
    <t xml:space="preserve">Albania</t>
  </si>
  <si>
    <t xml:space="preserve">Europe</t>
  </si>
  <si>
    <t xml:space="preserve">ARG</t>
  </si>
  <si>
    <t xml:space="preserve">Argentina</t>
  </si>
  <si>
    <t xml:space="preserve">South America</t>
  </si>
  <si>
    <t xml:space="preserve">ARM</t>
  </si>
  <si>
    <t xml:space="preserve">Armenia</t>
  </si>
  <si>
    <t xml:space="preserve">ATG</t>
  </si>
  <si>
    <t xml:space="preserve">Antigua and Barbuda</t>
  </si>
  <si>
    <t xml:space="preserve">North and Central America</t>
  </si>
  <si>
    <t xml:space="preserve">AUS</t>
  </si>
  <si>
    <t xml:space="preserve">Australia</t>
  </si>
  <si>
    <t xml:space="preserve">Oceania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</si>
  <si>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</si>
  <si>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</si>
  <si>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</si>
  <si>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</si>
  <si>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</si>
  <si>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</si>
  <si>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</si>
  <si>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</si>
  <si>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</si>
  <si>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</si>
  <si>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</si>
  <si>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</si>
  <si>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</si>
  <si>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</si>
  <si>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</si>
  <si>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</si>
  <si>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BHS</t>
  </si>
  <si>
    <t xml:space="preserve">Bahamas</t>
  </si>
  <si>
    <t xml:space="preserve">BIH</t>
  </si>
  <si>
    <t xml:space="preserve">Bosnia and Herzegovina</t>
  </si>
  <si>
    <t xml:space="preserve">BLR</t>
  </si>
  <si>
    <t xml:space="preserve">Belarus</t>
  </si>
  <si>
    <t xml:space="preserve">BLZ</t>
  </si>
  <si>
    <t xml:space="preserve">Belize</t>
  </si>
  <si>
    <t xml:space="preserve">BOL</t>
  </si>
  <si>
    <t xml:space="preserve">Bolivia</t>
  </si>
  <si>
    <t xml:space="preserve">BRB</t>
  </si>
  <si>
    <t xml:space="preserve">Barbados</t>
  </si>
  <si>
    <t xml:space="preserve">BRN</t>
  </si>
  <si>
    <t xml:space="preserve">Brunei</t>
  </si>
  <si>
    <t xml:space="preserve">Southeast Asia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</si>
  <si>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</si>
  <si>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</si>
  <si>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</si>
  <si>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</si>
  <si>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</si>
  <si>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</si>
  <si>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CHE</t>
  </si>
  <si>
    <t xml:space="preserve">Switzerland</t>
  </si>
  <si>
    <t xml:space="preserve">CHL</t>
  </si>
  <si>
    <t xml:space="preserve">Chile</t>
  </si>
  <si>
    <t xml:space="preserve">China</t>
  </si>
  <si>
    <t xml:space="preserve">North Asia</t>
  </si>
  <si>
    <t xml:space="preserve">CIV</t>
  </si>
  <si>
    <t xml:space="preserve">Côte d'Ivoire</t>
  </si>
  <si>
    <t xml:space="preserve">CMR</t>
  </si>
  <si>
    <t xml:space="preserve">Cameroon</t>
  </si>
  <si>
    <t xml:space="preserve">COD</t>
  </si>
  <si>
    <t xml:space="preserve">Democratic Republic of the Congo</t>
  </si>
  <si>
    <t xml:space="preserve">COG</t>
  </si>
  <si>
    <t xml:space="preserve">Republic of the Congo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</si>
  <si>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</si>
  <si>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</si>
  <si>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</si>
  <si>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</si>
  <si>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</si>
  <si>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Cabo Verde</t>
  </si>
  <si>
    <t xml:space="preserve">CRI</t>
  </si>
  <si>
    <t xml:space="preserve">Costa Rica</t>
  </si>
  <si>
    <t xml:space="preserve">CUB</t>
  </si>
  <si>
    <t xml:space="preserve">Cuba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</si>
  <si>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</si>
  <si>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</si>
  <si>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</si>
  <si>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</si>
  <si>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</si>
  <si>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</si>
  <si>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</si>
  <si>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</si>
  <si>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</si>
  <si>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</si>
  <si>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</si>
  <si>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</si>
  <si>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</si>
  <si>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</si>
  <si>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</si>
  <si>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</si>
  <si>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</si>
  <si>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</si>
  <si>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</si>
  <si>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</si>
  <si>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</si>
  <si>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</si>
  <si>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</si>
  <si>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</si>
  <si>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</si>
  <si>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</si>
  <si>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</si>
  <si>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</si>
  <si>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</si>
  <si>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</si>
  <si>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FRA</t>
  </si>
  <si>
    <t xml:space="preserve">France</t>
  </si>
  <si>
    <t xml:space="preserve">FSM</t>
  </si>
  <si>
    <t xml:space="preserve">Micronesia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</si>
  <si>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</si>
  <si>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</si>
  <si>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</si>
  <si>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</si>
  <si>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</si>
  <si>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</si>
  <si>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</si>
  <si>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</si>
  <si>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GIN</t>
  </si>
  <si>
    <t xml:space="preserve">Guinea</t>
  </si>
  <si>
    <t xml:space="preserve">GLP</t>
  </si>
  <si>
    <t xml:space="preserve">Guadeloupe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</si>
  <si>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</si>
  <si>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</si>
  <si>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</si>
  <si>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</si>
  <si>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</si>
  <si>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</si>
  <si>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</si>
  <si>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</si>
  <si>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</si>
  <si>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</si>
  <si>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GTM</t>
  </si>
  <si>
    <t xml:space="preserve">Guatemala</t>
  </si>
  <si>
    <t xml:space="preserve">GUF</t>
  </si>
  <si>
    <t xml:space="preserve">French Guiana</t>
  </si>
  <si>
    <t xml:space="preserve">GUY</t>
  </si>
  <si>
    <t xml:space="preserve">Guyana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</si>
  <si>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</si>
  <si>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</si>
  <si>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</si>
  <si>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</si>
  <si>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</si>
  <si>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</si>
  <si>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</si>
  <si>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</si>
  <si>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</si>
  <si>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</si>
  <si>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</si>
  <si>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</si>
  <si>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</si>
  <si>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</si>
  <si>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</si>
  <si>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</si>
  <si>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</si>
  <si>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</si>
  <si>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</si>
  <si>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</si>
  <si>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</si>
  <si>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</si>
  <si>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</si>
  <si>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</si>
  <si>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</si>
  <si>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</si>
  <si>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</si>
  <si>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</si>
  <si>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</si>
  <si>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</si>
  <si>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</si>
  <si>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KNA</t>
  </si>
  <si>
    <t xml:space="preserve">Saint Kitts and Nevis</t>
  </si>
  <si>
    <t xml:space="preserve">South Korea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</si>
  <si>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</si>
  <si>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</si>
  <si>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</si>
  <si>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</si>
  <si>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</si>
  <si>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</si>
  <si>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</si>
  <si>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</si>
  <si>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</si>
  <si>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Saint Lucia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</si>
  <si>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</si>
  <si>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</si>
  <si>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</si>
  <si>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</si>
  <si>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</si>
  <si>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</si>
  <si>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</si>
  <si>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</si>
  <si>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</si>
  <si>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</si>
  <si>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MAR</t>
  </si>
  <si>
    <t xml:space="preserve">Morocco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</si>
  <si>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</si>
  <si>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</si>
  <si>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</si>
  <si>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</si>
  <si>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</si>
  <si>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</si>
  <si>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México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</si>
  <si>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</si>
  <si>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</si>
  <si>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</si>
  <si>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</si>
  <si>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</si>
  <si>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</si>
  <si>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</si>
  <si>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</t>
  </si>
  <si>
    <t xml:space="preserve">MNE</t>
  </si>
  <si>
    <t xml:space="preserve">Montenegro</t>
  </si>
  <si>
    <t xml:space="preserve">MNG</t>
  </si>
  <si>
    <t xml:space="preserve">Mongolia</t>
  </si>
  <si>
    <t xml:space="preserve">MOZ</t>
  </si>
  <si>
    <t xml:space="preserve">Mozambique</t>
  </si>
  <si>
    <t xml:space="preserve">MRT</t>
  </si>
  <si>
    <t xml:space="preserve">Mauritania</t>
  </si>
  <si>
    <t xml:space="preserve">MTQ</t>
  </si>
  <si>
    <t xml:space="preserve">Martinique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</si>
  <si>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</si>
  <si>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</si>
  <si>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</si>
  <si>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</si>
  <si>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</si>
  <si>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</si>
  <si>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</si>
  <si>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</si>
  <si>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</si>
  <si>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</si>
  <si>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</si>
  <si>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</si>
  <si>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NGA</t>
  </si>
  <si>
    <t xml:space="preserve">NIC</t>
  </si>
  <si>
    <t xml:space="preserve">Nicaragua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</si>
  <si>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</si>
  <si>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</si>
  <si>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</si>
  <si>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</si>
  <si>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</si>
  <si>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</si>
  <si>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</si>
  <si>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</si>
  <si>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</si>
  <si>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</si>
  <si>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</si>
  <si>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</si>
  <si>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</si>
  <si>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</si>
  <si>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</si>
  <si>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</si>
  <si>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</si>
  <si>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</si>
  <si>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PNG</t>
  </si>
  <si>
    <t xml:space="preserve">Papua New Guinea</t>
  </si>
  <si>
    <t xml:space="preserve">POL</t>
  </si>
  <si>
    <t xml:space="preserve">Poland</t>
  </si>
  <si>
    <t xml:space="preserve">PRI</t>
  </si>
  <si>
    <t xml:space="preserve">Puerto Rico</t>
  </si>
  <si>
    <t xml:space="preserve">PRK</t>
  </si>
  <si>
    <t xml:space="preserve">North Korea</t>
  </si>
  <si>
    <t xml:space="preserve">PRT</t>
  </si>
  <si>
    <t xml:space="preserve">Portugal</t>
  </si>
  <si>
    <t xml:space="preserve">PRY</t>
  </si>
  <si>
    <t xml:space="preserve">Paraguay</t>
  </si>
  <si>
    <t xml:space="preserve">PSE</t>
  </si>
  <si>
    <t xml:space="preserve">Palestine</t>
  </si>
  <si>
    <t xml:space="preserve">REU</t>
  </si>
  <si>
    <t xml:space="preserve">Réunion</t>
  </si>
  <si>
    <t xml:space="preserve">ROU</t>
  </si>
  <si>
    <t xml:space="preserve">Romania</t>
  </si>
  <si>
    <t xml:space="preserve">RWA</t>
  </si>
  <si>
    <t xml:space="preserve">Rwanda</t>
  </si>
  <si>
    <t xml:space="preserve">SDN</t>
  </si>
  <si>
    <t xml:space="preserve">Sudan</t>
  </si>
  <si>
    <t xml:space="preserve">SDN and SSD</t>
  </si>
  <si>
    <t xml:space="preserve">Sudan and South 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</si>
  <si>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</si>
  <si>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</si>
  <si>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</si>
  <si>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</si>
  <si>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</si>
  <si>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</si>
  <si>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</si>
  <si>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</si>
  <si>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</si>
  <si>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</si>
  <si>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</si>
  <si>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</si>
  <si>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SRB</t>
  </si>
  <si>
    <t xml:space="preserve">Serbia</t>
  </si>
  <si>
    <t xml:space="preserve">SRB and MNE</t>
  </si>
  <si>
    <t xml:space="preserve">Serbia and Montenegro</t>
  </si>
  <si>
    <t xml:space="preserve">SSD</t>
  </si>
  <si>
    <t xml:space="preserve">South Sudan</t>
  </si>
  <si>
    <t xml:space="preserve">STP</t>
  </si>
  <si>
    <t xml:space="preserve">São Tomé and Príncipe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</si>
  <si>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</si>
  <si>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</si>
  <si>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</si>
  <si>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</si>
  <si>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</si>
  <si>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</si>
  <si>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</si>
  <si>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</si>
  <si>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</si>
  <si>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Swaziland</t>
  </si>
  <si>
    <t xml:space="preserve">SYC</t>
  </si>
  <si>
    <t xml:space="preserve">Seychelles</t>
  </si>
  <si>
    <t xml:space="preserve">SYR</t>
  </si>
  <si>
    <t xml:space="preserve">Syria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</si>
  <si>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</si>
  <si>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</si>
  <si>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</si>
  <si>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</si>
  <si>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</si>
  <si>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</si>
  <si>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</si>
  <si>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</si>
  <si>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</si>
  <si>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</si>
  <si>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TLS</t>
  </si>
  <si>
    <t xml:space="preserve">Timor-Leste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</si>
  <si>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</si>
  <si>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</si>
  <si>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</si>
  <si>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</si>
  <si>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</si>
  <si>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Turkey</t>
  </si>
  <si>
    <t xml:space="preserve">TWN</t>
  </si>
  <si>
    <t xml:space="preserve">Taiwan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</si>
  <si>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</si>
  <si>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</si>
  <si>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</si>
  <si>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</si>
  <si>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</si>
  <si>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</si>
  <si>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</si>
  <si>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</si>
  <si>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United States</t>
  </si>
  <si>
    <t xml:space="preserve">UZB</t>
  </si>
  <si>
    <t xml:space="preserve">Uzbekistan</t>
  </si>
  <si>
    <t xml:space="preserve">VCT</t>
  </si>
  <si>
    <t xml:space="preserve">Saint Vincent and the Grenadines</t>
  </si>
  <si>
    <t xml:space="preserve">VEN</t>
  </si>
  <si>
    <t xml:space="preserve">Venezuela</t>
  </si>
  <si>
    <t xml:space="preserve">VNM</t>
  </si>
  <si>
    <t xml:space="preserve">Vietnam</t>
  </si>
  <si>
    <t xml:space="preserve">VUT</t>
  </si>
  <si>
    <t xml:space="preserve">Vanuatu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</si>
  <si>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</si>
  <si>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</si>
  <si>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</si>
  <si>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</si>
  <si>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</si>
  <si>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</si>
  <si>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</si>
  <si>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</si>
  <si>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country (DeDuCE)</t>
  </si>
  <si>
    <t xml:space="preserve">EPPA region name</t>
  </si>
  <si>
    <t xml:space="preserve">basis</t>
  </si>
  <si>
    <t xml:space="preserve">crop ha 2001-2023</t>
  </si>
  <si>
    <t xml:space="preserve">live ha 2001-2023</t>
  </si>
  <si>
    <t xml:space="preserve">fors ha 2001-2023</t>
  </si>
  <si>
    <t xml:space="preserve">GTAP code AFG</t>
  </si>
  <si>
    <t xml:space="preserve">GTAP code AGO</t>
  </si>
  <si>
    <t xml:space="preserve">GTAP code ALB</t>
  </si>
  <si>
    <t xml:space="preserve">GTAP code ARG</t>
  </si>
  <si>
    <t xml:space="preserve">GTAP code ARM</t>
  </si>
  <si>
    <t xml:space="preserve">via XCB</t>
  </si>
  <si>
    <t xml:space="preserve">GTAP code AUS</t>
  </si>
  <si>
    <t xml:space="preserve">GTAP code AUT</t>
  </si>
  <si>
    <t xml:space="preserve">GTAP code AZE</t>
  </si>
  <si>
    <t xml:space="preserve">GTAP code BDI</t>
  </si>
  <si>
    <t xml:space="preserve">GTAP code BEL</t>
  </si>
  <si>
    <t xml:space="preserve">GTAP code BEN</t>
  </si>
  <si>
    <t xml:space="preserve">GTAP code BFA</t>
  </si>
  <si>
    <t xml:space="preserve">GTAP code BGD</t>
  </si>
  <si>
    <t xml:space="preserve">GTAP code BGR</t>
  </si>
  <si>
    <t xml:space="preserve">via XER</t>
  </si>
  <si>
    <t xml:space="preserve">GTAP code BLR</t>
  </si>
  <si>
    <t xml:space="preserve">via XCA</t>
  </si>
  <si>
    <t xml:space="preserve">GTAP code BOL</t>
  </si>
  <si>
    <t xml:space="preserve">GTAP code BRA</t>
  </si>
  <si>
    <t xml:space="preserve">GTAP code BRN</t>
  </si>
  <si>
    <t xml:space="preserve">via XSA</t>
  </si>
  <si>
    <t xml:space="preserve">GTAP code BWA</t>
  </si>
  <si>
    <t xml:space="preserve">GTAP code CAF</t>
  </si>
  <si>
    <t xml:space="preserve">GTAP code CAN</t>
  </si>
  <si>
    <t xml:space="preserve">GTAP code CHE</t>
  </si>
  <si>
    <t xml:space="preserve">GTAP code CHL</t>
  </si>
  <si>
    <t xml:space="preserve">GTAP code CHN</t>
  </si>
  <si>
    <t xml:space="preserve">GTAP code CIV</t>
  </si>
  <si>
    <t xml:space="preserve">GTAP code CMR</t>
  </si>
  <si>
    <t xml:space="preserve">GTAP code COD</t>
  </si>
  <si>
    <t xml:space="preserve">GTAP code COG</t>
  </si>
  <si>
    <t xml:space="preserve">GTAP code COL</t>
  </si>
  <si>
    <t xml:space="preserve">GTAP code COM</t>
  </si>
  <si>
    <t xml:space="preserve">via XWF</t>
  </si>
  <si>
    <t xml:space="preserve">GTAP code CRI</t>
  </si>
  <si>
    <t xml:space="preserve">GTAP code CYP</t>
  </si>
  <si>
    <t xml:space="preserve">GTAP code CZE</t>
  </si>
  <si>
    <t xml:space="preserve">GTAP code DEU</t>
  </si>
  <si>
    <t xml:space="preserve">GTAP code DNK</t>
  </si>
  <si>
    <t xml:space="preserve">GTAP code DOM</t>
  </si>
  <si>
    <t xml:space="preserve">GTAP code DZA</t>
  </si>
  <si>
    <t xml:space="preserve">GTAP code ECU</t>
  </si>
  <si>
    <t xml:space="preserve">GTAP code EGY</t>
  </si>
  <si>
    <t xml:space="preserve">via XEC</t>
  </si>
  <si>
    <t xml:space="preserve">GTAP code ESP</t>
  </si>
  <si>
    <t xml:space="preserve">GTAP code EST</t>
  </si>
  <si>
    <t xml:space="preserve">GTAP code ETH</t>
  </si>
  <si>
    <t xml:space="preserve">GTAP code FIN</t>
  </si>
  <si>
    <t xml:space="preserve">via XOC</t>
  </si>
  <si>
    <t xml:space="preserve">GTAP code FRA</t>
  </si>
  <si>
    <t xml:space="preserve">GTAP code GAB</t>
  </si>
  <si>
    <t xml:space="preserve">GTAP code GBR</t>
  </si>
  <si>
    <t xml:space="preserve">GTAP code GEO</t>
  </si>
  <si>
    <t xml:space="preserve">GTAP code GHA</t>
  </si>
  <si>
    <t xml:space="preserve">GTAP code GIN</t>
  </si>
  <si>
    <t xml:space="preserve">via FRA</t>
  </si>
  <si>
    <t xml:space="preserve">GTAP code GNQ</t>
  </si>
  <si>
    <t xml:space="preserve">GTAP code GRC</t>
  </si>
  <si>
    <t xml:space="preserve">GTAP code GTM</t>
  </si>
  <si>
    <t xml:space="preserve">via XSM</t>
  </si>
  <si>
    <t xml:space="preserve">GTAP code HND</t>
  </si>
  <si>
    <t xml:space="preserve">GTAP code HRV</t>
  </si>
  <si>
    <t xml:space="preserve">GTAP code HTI</t>
  </si>
  <si>
    <t xml:space="preserve">GTAP code HUN</t>
  </si>
  <si>
    <t xml:space="preserve">GTAP code IDN</t>
  </si>
  <si>
    <t xml:space="preserve">GTAP code IND</t>
  </si>
  <si>
    <t xml:space="preserve">GTAP code IRL</t>
  </si>
  <si>
    <t xml:space="preserve">GTAP code IRN</t>
  </si>
  <si>
    <t xml:space="preserve">GTAP code IRQ</t>
  </si>
  <si>
    <t xml:space="preserve">GTAP code ISR</t>
  </si>
  <si>
    <t xml:space="preserve">GTAP code ITA</t>
  </si>
  <si>
    <t xml:space="preserve">GTAP code JAM</t>
  </si>
  <si>
    <t xml:space="preserve">GTAP code JOR</t>
  </si>
  <si>
    <t xml:space="preserve">GTAP code JPN</t>
  </si>
  <si>
    <t xml:space="preserve">GTAP code KAZ</t>
  </si>
  <si>
    <t xml:space="preserve">GTAP code KEN</t>
  </si>
  <si>
    <t xml:space="preserve">GTAP code KGZ</t>
  </si>
  <si>
    <t xml:space="preserve">GTAP code KHM</t>
  </si>
  <si>
    <t xml:space="preserve">GTAP code KOR</t>
  </si>
  <si>
    <t xml:space="preserve">GTAP code LAO</t>
  </si>
  <si>
    <t xml:space="preserve">GTAP code LBN</t>
  </si>
  <si>
    <t xml:space="preserve">via XNF</t>
  </si>
  <si>
    <t xml:space="preserve">GTAP code LKA</t>
  </si>
  <si>
    <t xml:space="preserve">via XSC</t>
  </si>
  <si>
    <t xml:space="preserve">GTAP code LTU</t>
  </si>
  <si>
    <t xml:space="preserve">GTAP code LUX</t>
  </si>
  <si>
    <t xml:space="preserve">GTAP code LVA</t>
  </si>
  <si>
    <t xml:space="preserve">GTAP code MAR</t>
  </si>
  <si>
    <t xml:space="preserve">via XEE</t>
  </si>
  <si>
    <t xml:space="preserve">GTAP code MDG</t>
  </si>
  <si>
    <t xml:space="preserve">GTAP code MEX</t>
  </si>
  <si>
    <t xml:space="preserve">GTAP code MLI</t>
  </si>
  <si>
    <t xml:space="preserve">GTAP code MLT</t>
  </si>
  <si>
    <t xml:space="preserve">via XSE</t>
  </si>
  <si>
    <t xml:space="preserve">GTAP code MNG</t>
  </si>
  <si>
    <t xml:space="preserve">GTAP code MOZ</t>
  </si>
  <si>
    <t xml:space="preserve">GTAP code MRT</t>
  </si>
  <si>
    <t xml:space="preserve">GTAP code MUS</t>
  </si>
  <si>
    <t xml:space="preserve">GTAP code MWI</t>
  </si>
  <si>
    <t xml:space="preserve">GTAP code MYS</t>
  </si>
  <si>
    <t xml:space="preserve">GTAP code NAM</t>
  </si>
  <si>
    <t xml:space="preserve">GTAP code NER</t>
  </si>
  <si>
    <t xml:space="preserve">GTAP code NGA</t>
  </si>
  <si>
    <t xml:space="preserve">GTAP code NIC</t>
  </si>
  <si>
    <t xml:space="preserve">GTAP code NLD</t>
  </si>
  <si>
    <t xml:space="preserve">GTAP code NOR</t>
  </si>
  <si>
    <t xml:space="preserve">GTAP code NPL</t>
  </si>
  <si>
    <t xml:space="preserve">GTAP code NZL</t>
  </si>
  <si>
    <t xml:space="preserve">GTAP code OMN</t>
  </si>
  <si>
    <t xml:space="preserve">GTAP code PAK</t>
  </si>
  <si>
    <t xml:space="preserve">GTAP code PAN</t>
  </si>
  <si>
    <t xml:space="preserve">GTAP code PER</t>
  </si>
  <si>
    <t xml:space="preserve">GTAP code PHL</t>
  </si>
  <si>
    <t xml:space="preserve">GTAP code POL</t>
  </si>
  <si>
    <t xml:space="preserve">GTAP code PRI</t>
  </si>
  <si>
    <t xml:space="preserve">via XEA</t>
  </si>
  <si>
    <t xml:space="preserve">GTAP code PRT</t>
  </si>
  <si>
    <t xml:space="preserve">GTAP code PRY</t>
  </si>
  <si>
    <t xml:space="preserve">GTAP code PSE</t>
  </si>
  <si>
    <t xml:space="preserve">GTAP code ROU</t>
  </si>
  <si>
    <t xml:space="preserve">GTAP code RUS</t>
  </si>
  <si>
    <t xml:space="preserve">GTAP code RWA</t>
  </si>
  <si>
    <t xml:space="preserve">GTAP code SDN</t>
  </si>
  <si>
    <t xml:space="preserve">GTAP code SEN</t>
  </si>
  <si>
    <t xml:space="preserve">GTAP code SGP</t>
  </si>
  <si>
    <t xml:space="preserve">GTAP code SLV</t>
  </si>
  <si>
    <t xml:space="preserve">GTAP code SRB</t>
  </si>
  <si>
    <t xml:space="preserve">via SRB</t>
  </si>
  <si>
    <t xml:space="preserve">GTAP code STP</t>
  </si>
  <si>
    <t xml:space="preserve">GTAP code SVK</t>
  </si>
  <si>
    <t xml:space="preserve">GTAP code SVN</t>
  </si>
  <si>
    <t xml:space="preserve">GTAP code SWE</t>
  </si>
  <si>
    <t xml:space="preserve">GTAP code SWZ</t>
  </si>
  <si>
    <t xml:space="preserve">GTAP code SYR</t>
  </si>
  <si>
    <t xml:space="preserve">GTAP code TCD</t>
  </si>
  <si>
    <t xml:space="preserve">GTAP code TGO</t>
  </si>
  <si>
    <t xml:space="preserve">GTAP code THA</t>
  </si>
  <si>
    <t xml:space="preserve">GTAP code TJK</t>
  </si>
  <si>
    <t xml:space="preserve">via XSU</t>
  </si>
  <si>
    <t xml:space="preserve">GTAP code TTO</t>
  </si>
  <si>
    <t xml:space="preserve">GTAP code TUN</t>
  </si>
  <si>
    <t xml:space="preserve">GTAP code TUR</t>
  </si>
  <si>
    <t xml:space="preserve">GTAP code TWN</t>
  </si>
  <si>
    <t xml:space="preserve">GTAP code TZA</t>
  </si>
  <si>
    <t xml:space="preserve">GTAP code UGA</t>
  </si>
  <si>
    <t xml:space="preserve">GTAP code UKR</t>
  </si>
  <si>
    <t xml:space="preserve">GTAP code URY</t>
  </si>
  <si>
    <t xml:space="preserve">GTAP code USA</t>
  </si>
  <si>
    <t xml:space="preserve">GTAP code UZB</t>
  </si>
  <si>
    <t xml:space="preserve">GTAP code VEN</t>
  </si>
  <si>
    <t xml:space="preserve">GTAP code VNM</t>
  </si>
  <si>
    <t xml:space="preserve">via XWS</t>
  </si>
  <si>
    <t xml:space="preserve">GTAP code ZAF</t>
  </si>
  <si>
    <t xml:space="preserve">GTAP code ZMB</t>
  </si>
  <si>
    <t xml:space="preserve">GTAP code ZWE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</si>
</sst>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3" t="s">
        <v>19</v>
      </c>
      <c r="B1" s="3" t="s">
        <v>20</v>
      </c>
      <c r="C1" s="3" t="s">
        <v>21</v>
      </c>
      <c r="D1" s="3" t="s">
        <v>22</v>
      </c>
    </row>
    <row r="2" customFormat="false" ht="15" hidden="false" customHeight="false" outlineLevel="0" collapsed="false">
      <c r="A2" s="4" t="s">
        <v>23</v>
      </c>
      <c r="B2" s="5" t="n">
        <v>2008</v>
      </c>
      <c r="C2" s="5" t="n">
        <v>2010</v>
      </c>
      <c r="D2" s="4" t="n">
        <f aca="false">C2-B2+1</f>
        <v>3</v>
      </c>
    </row>
    <row r="3" customFormat="false" ht="15" hidden="false" customHeight="false" outlineLevel="0" collapsed="false">
      <c r="A3" s="4" t="s">
        <v>24</v>
      </c>
      <c r="B3" s="5" t="n">
        <v>2011</v>
      </c>
      <c r="C3" s="5" t="n">
        <v>2015</v>
      </c>
      <c r="D3" s="4" t="n">
        <f aca="false">C3-B3+1</f>
        <v>5</v>
      </c>
    </row>
    <row r="4" customFormat="false" ht="15" hidden="false" customHeight="false" outlineLevel="0" collapsed="false">
      <c r="A4" s="4" t="s">
        <v>25</v>
      </c>
      <c r="B4" s="5" t="n">
        <v>2016</v>
      </c>
      <c r="C4" s="5" t="n">
        <v>2020</v>
      </c>
      <c r="D4" s="4" t="n">
        <f aca="false">C4-B4+1</f>
        <v>5</v>
      </c>
    </row>
    <row r="5" customFormat="false" ht="15" hidden="false" customHeight="false" outlineLevel="0" collapsed="false">
      <c r="A5" s="4" t="s">
        <v>26</v>
      </c>
      <c r="B5" s="5" t="n">
        <v>2021</v>
      </c>
      <c r="C5" s="5" t="n">
        <v>2023</v>
      </c>
      <c r="D5" s="4" t="n">
        <f aca="false">C5-B5+1</f>
        <v>3</v>
      </c>
    </row>
    <row r="6" customFormat="false" ht="15" hidden="false" customHeight="false" outlineLevel="0" collapsed="false">
      <c r="A6" s="4"/>
      <c r="B6" s="4"/>
      <c r="C6" s="4"/>
      <c r="D6" s="4"/>
    </row>
    <row r="7" customFormat="false" ht="15" hidden="false" customHeight="false" outlineLevel="0" collapsed="false">
      <c r="A7" s="2" t="s">
        <v>27</v>
      </c>
      <c r="B7" s="4"/>
      <c r="C7" s="4"/>
      <c r="D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18" min="3" style="0" width="15"/>
  </cols>
  <sheetData>
    <row r="1" customFormat="false" ht="30" hidden="false" customHeight="true" outlineLevel="0" collapsed="false">
      <c r="A1" s="3" t="s">
        <v>28</v>
      </c>
      <c r="B1" s="3" t="s">
        <v>29</v>
      </c>
      <c r="C1" s="3" t="str">
        <f aca="false">"crop "&amp;periods!$A$2</f>
        <v>crop 2007-2010</v>
      </c>
      <c r="D1" s="3" t="str">
        <f aca="false">"crop "&amp;periods!$A$3</f>
        <v>crop 2010-2015</v>
      </c>
      <c r="E1" s="3" t="str">
        <f aca="false">"crop "&amp;periods!$A$4</f>
        <v>crop 2015-2020</v>
      </c>
      <c r="F1" s="3" t="str">
        <f aca="false">"crop "&amp;periods!$A$5</f>
        <v>crop 2020-2023</v>
      </c>
      <c r="G1" s="3" t="str">
        <f aca="false">"live "&amp;periods!$A$2</f>
        <v>live 2007-2010</v>
      </c>
      <c r="H1" s="3" t="str">
        <f aca="false">"live "&amp;periods!$A$3</f>
        <v>live 2010-2015</v>
      </c>
      <c r="I1" s="3" t="str">
        <f aca="false">"live "&amp;periods!$A$4</f>
        <v>live 2015-2020</v>
      </c>
      <c r="J1" s="3" t="str">
        <f aca="false">"live "&amp;periods!$A$5</f>
        <v>live 2020-2023</v>
      </c>
      <c r="K1" s="3" t="str">
        <f aca="false">"fors "&amp;periods!$A$2</f>
        <v>fors 2007-2010</v>
      </c>
      <c r="L1" s="3" t="str">
        <f aca="false">"fors "&amp;periods!$A$3</f>
        <v>fors 2010-2015</v>
      </c>
      <c r="M1" s="3" t="str">
        <f aca="false">"fors "&amp;periods!$A$4</f>
        <v>fors 2015-2020</v>
      </c>
      <c r="N1" s="3" t="str">
        <f aca="false">"fors "&amp;periods!$A$5</f>
        <v>fors 2020-2023</v>
      </c>
      <c r="O1" s="3" t="str">
        <f aca="false">"total "&amp;periods!$A$2</f>
        <v>total 2007-2010</v>
      </c>
      <c r="P1" s="3" t="str">
        <f aca="false">"total "&amp;periods!$A$3</f>
        <v>total 2010-2015</v>
      </c>
      <c r="Q1" s="3" t="str">
        <f aca="false">"total "&amp;periods!$A$4</f>
        <v>total 2015-2020</v>
      </c>
      <c r="R1" s="3" t="str">
        <f aca="false">"total "&amp;periods!$A$5</f>
        <v>total 2020-2023</v>
      </c>
    </row>
    <row r="2" customFormat="false" ht="15" hidden="false" customHeight="false" outlineLevel="0" collapsed="false">
      <c r="A2" s="6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Format="false" ht="15" hidden="false" customHeight="false" outlineLevel="0" collapsed="false">
      <c r="A3" s="4" t="s">
        <v>31</v>
      </c>
      <c r="B3" s="4" t="s">
        <v>32</v>
      </c>
      <c r="C3" s="7" t="n">
        <f aca="false">SUMPRODUCT((region_annual_ha!$A$2:$A$85=$A3)*(region_annual_ha!$B$2:$B$85="crop")*(region_annual_ha!$D$1:$Z$1&gt;=periods!$B$2)*(region_annual_ha!$D$1:$Z$1&lt;=periods!$C$2)*region_annual_ha!$D$2:$Z$85)/(periods!$C$2-periods!$B$2+1)</f>
        <v>17635.5886553085</v>
      </c>
      <c r="D3" s="7" t="n">
        <f aca="false">SUMPRODUCT((region_annual_ha!$A$2:$A$85=$A3)*(region_annual_ha!$B$2:$B$85="crop")*(region_annual_ha!$D$1:$Z$1&gt;=periods!$B$3)*(region_annual_ha!$D$1:$Z$1&lt;=periods!$C$3)*region_annual_ha!$D$2:$Z$85)/(periods!$C$3-periods!$B$3+1)</f>
        <v>48593.9165353596</v>
      </c>
      <c r="E3" s="7" t="n">
        <f aca="false">SUMPRODUCT((region_annual_ha!$A$2:$A$85=$A3)*(region_annual_ha!$B$2:$B$85="crop")*(region_annual_ha!$D$1:$Z$1&gt;=periods!$B$4)*(region_annual_ha!$D$1:$Z$1&lt;=periods!$C$4)*region_annual_ha!$D$2:$Z$85)/(periods!$C$4-periods!$B$4+1)</f>
        <v>22616.0940628001</v>
      </c>
      <c r="F3" s="7" t="n">
        <f aca="false">SUMPRODUCT((region_annual_ha!$A$2:$A$85=$A3)*(region_annual_ha!$B$2:$B$85="crop")*(region_annual_ha!$D$1:$Z$1&gt;=periods!$B$5)*(region_annual_ha!$D$1:$Z$1&lt;=periods!$C$5)*region_annual_ha!$D$2:$Z$85)/(periods!$C$5-periods!$B$5+1)</f>
        <v>6667.16773928097</v>
      </c>
      <c r="G3" s="7" t="n">
        <f aca="false">SUMPRODUCT((region_annual_ha!$A$2:$A$85=$A3)*(region_annual_ha!$B$2:$B$85="live")*(region_annual_ha!$D$1:$Z$1&gt;=periods!$B$2)*(region_annual_ha!$D$1:$Z$1&lt;=periods!$C$2)*region_annual_ha!$D$2:$Z$85)/(periods!$C$2-periods!$B$2+1)</f>
        <v>75655.571906345</v>
      </c>
      <c r="H3" s="7" t="n">
        <f aca="false">SUMPRODUCT((region_annual_ha!$A$2:$A$85=$A3)*(region_annual_ha!$B$2:$B$85="live")*(region_annual_ha!$D$1:$Z$1&gt;=periods!$B$3)*(region_annual_ha!$D$1:$Z$1&lt;=periods!$C$3)*region_annual_ha!$D$2:$Z$85)/(periods!$C$3-periods!$B$3+1)</f>
        <v>46036.8756889125</v>
      </c>
      <c r="I3" s="7" t="n">
        <f aca="false">SUMPRODUCT((region_annual_ha!$A$2:$A$85=$A3)*(region_annual_ha!$B$2:$B$85="live")*(region_annual_ha!$D$1:$Z$1&gt;=periods!$B$4)*(region_annual_ha!$D$1:$Z$1&lt;=periods!$C$4)*region_annual_ha!$D$2:$Z$85)/(periods!$C$4-periods!$B$4+1)</f>
        <v>61863.1389205824</v>
      </c>
      <c r="J3" s="7" t="n">
        <f aca="false">SUMPRODUCT((region_annual_ha!$A$2:$A$85=$A3)*(region_annual_ha!$B$2:$B$85="live")*(region_annual_ha!$D$1:$Z$1&gt;=periods!$B$5)*(region_annual_ha!$D$1:$Z$1&lt;=periods!$C$5)*region_annual_ha!$D$2:$Z$85)/(periods!$C$5-periods!$B$5+1)</f>
        <v>39455.9182368536</v>
      </c>
      <c r="K3" s="7" t="n">
        <f aca="false">SUMPRODUCT((region_annual_ha!$A$2:$A$85=$A3)*(region_annual_ha!$B$2:$B$85="fors")*(region_annual_ha!$D$1:$Z$1&gt;=periods!$B$2)*(region_annual_ha!$D$1:$Z$1&lt;=periods!$C$2)*region_annual_ha!$D$2:$Z$85)/(periods!$C$2-periods!$B$2+1)</f>
        <v>201700</v>
      </c>
      <c r="L3" s="7" t="n">
        <f aca="false">SUMPRODUCT((region_annual_ha!$A$2:$A$85=$A3)*(region_annual_ha!$B$2:$B$85="fors")*(region_annual_ha!$D$1:$Z$1&gt;=periods!$B$3)*(region_annual_ha!$D$1:$Z$1&lt;=periods!$C$3)*region_annual_ha!$D$2:$Z$85)/(periods!$C$3-periods!$B$3+1)</f>
        <v>183160</v>
      </c>
      <c r="M3" s="7" t="n">
        <f aca="false">SUMPRODUCT((region_annual_ha!$A$2:$A$85=$A3)*(region_annual_ha!$B$2:$B$85="fors")*(region_annual_ha!$D$1:$Z$1&gt;=periods!$B$4)*(region_annual_ha!$D$1:$Z$1&lt;=periods!$C$4)*region_annual_ha!$D$2:$Z$85)/(periods!$C$4-periods!$B$4+1)</f>
        <v>59000</v>
      </c>
      <c r="N3" s="7" t="n">
        <f aca="false">SUMPRODUCT((region_annual_ha!$A$2:$A$85=$A3)*(region_annual_ha!$B$2:$B$85="fors")*(region_annual_ha!$D$1:$Z$1&gt;=periods!$B$5)*(region_annual_ha!$D$1:$Z$1&lt;=periods!$C$5)*region_annual_ha!$D$2:$Z$85)/(periods!$C$5-periods!$B$5+1)</f>
        <v>0</v>
      </c>
      <c r="O3" s="7" t="n">
        <f aca="false">C3+G3+K3</f>
        <v>294991.160561653</v>
      </c>
      <c r="P3" s="7" t="n">
        <f aca="false">D3+H3+L3</f>
        <v>277790.792224272</v>
      </c>
      <c r="Q3" s="7" t="n">
        <f aca="false">E3+I3+M3</f>
        <v>143479.232983382</v>
      </c>
      <c r="R3" s="7" t="n">
        <f aca="false">F3+J3+N3</f>
        <v>46123.0859761346</v>
      </c>
    </row>
    <row r="4" customFormat="false" ht="15" hidden="false" customHeight="false" outlineLevel="0" collapsed="false">
      <c r="A4" s="4" t="s">
        <v>33</v>
      </c>
      <c r="B4" s="4" t="s">
        <v>34</v>
      </c>
      <c r="C4" s="7" t="n">
        <f aca="false">SUMPRODUCT((region_annual_ha!$A$2:$A$85=$A4)*(region_annual_ha!$B$2:$B$85="crop")*(region_annual_ha!$D$1:$Z$1&gt;=periods!$B$2)*(region_annual_ha!$D$1:$Z$1&lt;=periods!$C$2)*region_annual_ha!$D$2:$Z$85)/(periods!$C$2-periods!$B$2+1)</f>
        <v>9062.09262290623</v>
      </c>
      <c r="D4" s="7" t="n">
        <f aca="false">SUMPRODUCT((region_annual_ha!$A$2:$A$85=$A4)*(region_annual_ha!$B$2:$B$85="crop")*(region_annual_ha!$D$1:$Z$1&gt;=periods!$B$3)*(region_annual_ha!$D$1:$Z$1&lt;=periods!$C$3)*region_annual_ha!$D$2:$Z$85)/(periods!$C$3-periods!$B$3+1)</f>
        <v>22836.7032743858</v>
      </c>
      <c r="E4" s="7" t="n">
        <f aca="false">SUMPRODUCT((region_annual_ha!$A$2:$A$85=$A4)*(region_annual_ha!$B$2:$B$85="crop")*(region_annual_ha!$D$1:$Z$1&gt;=periods!$B$4)*(region_annual_ha!$D$1:$Z$1&lt;=periods!$C$4)*region_annual_ha!$D$2:$Z$85)/(periods!$C$4-periods!$B$4+1)</f>
        <v>7173.47407230878</v>
      </c>
      <c r="F4" s="7" t="n">
        <f aca="false">SUMPRODUCT((region_annual_ha!$A$2:$A$85=$A4)*(region_annual_ha!$B$2:$B$85="crop")*(region_annual_ha!$D$1:$Z$1&gt;=periods!$B$5)*(region_annual_ha!$D$1:$Z$1&lt;=periods!$C$5)*region_annual_ha!$D$2:$Z$85)/(periods!$C$5-periods!$B$5+1)</f>
        <v>0</v>
      </c>
      <c r="G4" s="7" t="n">
        <f aca="false">SUMPRODUCT((region_annual_ha!$A$2:$A$85=$A4)*(region_annual_ha!$B$2:$B$85="live")*(region_annual_ha!$D$1:$Z$1&gt;=periods!$B$2)*(region_annual_ha!$D$1:$Z$1&lt;=periods!$C$2)*region_annual_ha!$D$2:$Z$85)/(periods!$C$2-periods!$B$2+1)</f>
        <v>3382.6761017438</v>
      </c>
      <c r="H4" s="7" t="n">
        <f aca="false">SUMPRODUCT((region_annual_ha!$A$2:$A$85=$A4)*(region_annual_ha!$B$2:$B$85="live")*(region_annual_ha!$D$1:$Z$1&gt;=periods!$B$3)*(region_annual_ha!$D$1:$Z$1&lt;=periods!$C$3)*region_annual_ha!$D$2:$Z$85)/(periods!$C$3-periods!$B$3+1)</f>
        <v>0</v>
      </c>
      <c r="I4" s="7" t="n">
        <f aca="false">SUMPRODUCT((region_annual_ha!$A$2:$A$85=$A4)*(region_annual_ha!$B$2:$B$85="live")*(region_annual_ha!$D$1:$Z$1&gt;=periods!$B$4)*(region_annual_ha!$D$1:$Z$1&lt;=periods!$C$4)*region_annual_ha!$D$2:$Z$85)/(periods!$C$4-periods!$B$4+1)</f>
        <v>6266.97332974533</v>
      </c>
      <c r="J4" s="7" t="n">
        <f aca="false">SUMPRODUCT((region_annual_ha!$A$2:$A$85=$A4)*(region_annual_ha!$B$2:$B$85="live")*(region_annual_ha!$D$1:$Z$1&gt;=periods!$B$5)*(region_annual_ha!$D$1:$Z$1&lt;=periods!$C$5)*region_annual_ha!$D$2:$Z$85)/(periods!$C$5-periods!$B$5+1)</f>
        <v>5417.05302149931</v>
      </c>
      <c r="K4" s="7" t="n">
        <f aca="false">SUMPRODUCT((region_annual_ha!$A$2:$A$85=$A4)*(region_annual_ha!$B$2:$B$85="fors")*(region_annual_ha!$D$1:$Z$1&gt;=periods!$B$2)*(region_annual_ha!$D$1:$Z$1&lt;=periods!$C$2)*region_annual_ha!$D$2:$Z$85)/(periods!$C$2-periods!$B$2+1)</f>
        <v>0</v>
      </c>
      <c r="L4" s="7" t="n">
        <f aca="false">SUMPRODUCT((region_annual_ha!$A$2:$A$85=$A4)*(region_annual_ha!$B$2:$B$85="fors")*(region_annual_ha!$D$1:$Z$1&gt;=periods!$B$3)*(region_annual_ha!$D$1:$Z$1&lt;=periods!$C$3)*region_annual_ha!$D$2:$Z$85)/(periods!$C$3-periods!$B$3+1)</f>
        <v>0</v>
      </c>
      <c r="M4" s="7" t="n">
        <f aca="false">SUMPRODUCT((region_annual_ha!$A$2:$A$85=$A4)*(region_annual_ha!$B$2:$B$85="fors")*(region_annual_ha!$D$1:$Z$1&gt;=periods!$B$4)*(region_annual_ha!$D$1:$Z$1&lt;=periods!$C$4)*region_annual_ha!$D$2:$Z$85)/(periods!$C$4-periods!$B$4+1)</f>
        <v>0</v>
      </c>
      <c r="N4" s="7" t="n">
        <f aca="false">SUMPRODUCT((region_annual_ha!$A$2:$A$85=$A4)*(region_annual_ha!$B$2:$B$85="fors")*(region_annual_ha!$D$1:$Z$1&gt;=periods!$B$5)*(region_annual_ha!$D$1:$Z$1&lt;=periods!$C$5)*region_annual_ha!$D$2:$Z$85)/(periods!$C$5-periods!$B$5+1)</f>
        <v>0</v>
      </c>
      <c r="O4" s="7" t="n">
        <f aca="false">C4+G4+K4</f>
        <v>12444.76872465</v>
      </c>
      <c r="P4" s="7" t="n">
        <f aca="false">D4+H4+L4</f>
        <v>22836.7032743858</v>
      </c>
      <c r="Q4" s="7" t="n">
        <f aca="false">E4+I4+M4</f>
        <v>13440.4474020541</v>
      </c>
      <c r="R4" s="7" t="n">
        <f aca="false">F4+J4+N4</f>
        <v>5417.05302149931</v>
      </c>
    </row>
    <row r="5" customFormat="false" ht="15" hidden="false" customHeight="false" outlineLevel="0" collapsed="false">
      <c r="A5" s="4" t="s">
        <v>35</v>
      </c>
      <c r="B5" s="4" t="s">
        <v>36</v>
      </c>
      <c r="C5" s="7" t="n">
        <f aca="false">SUMPRODUCT((region_annual_ha!$A$2:$A$85=$A5)*(region_annual_ha!$B$2:$B$85="crop")*(region_annual_ha!$D$1:$Z$1&gt;=periods!$B$2)*(region_annual_ha!$D$1:$Z$1&lt;=periods!$C$2)*region_annual_ha!$D$2:$Z$85)/(periods!$C$2-periods!$B$2+1)</f>
        <v>7991.36817860899</v>
      </c>
      <c r="D5" s="7" t="n">
        <f aca="false">SUMPRODUCT((region_annual_ha!$A$2:$A$85=$A5)*(region_annual_ha!$B$2:$B$85="crop")*(region_annual_ha!$D$1:$Z$1&gt;=periods!$B$3)*(region_annual_ha!$D$1:$Z$1&lt;=periods!$C$3)*region_annual_ha!$D$2:$Z$85)/(periods!$C$3-periods!$B$3+1)</f>
        <v>7144.4062514555</v>
      </c>
      <c r="E5" s="7" t="n">
        <f aca="false">SUMPRODUCT((region_annual_ha!$A$2:$A$85=$A5)*(region_annual_ha!$B$2:$B$85="crop")*(region_annual_ha!$D$1:$Z$1&gt;=periods!$B$4)*(region_annual_ha!$D$1:$Z$1&lt;=periods!$C$4)*region_annual_ha!$D$2:$Z$85)/(periods!$C$4-periods!$B$4+1)</f>
        <v>120927.569010675</v>
      </c>
      <c r="F5" s="7" t="n">
        <f aca="false">SUMPRODUCT((region_annual_ha!$A$2:$A$85=$A5)*(region_annual_ha!$B$2:$B$85="crop")*(region_annual_ha!$D$1:$Z$1&gt;=periods!$B$5)*(region_annual_ha!$D$1:$Z$1&lt;=periods!$C$5)*region_annual_ha!$D$2:$Z$85)/(periods!$C$5-periods!$B$5+1)</f>
        <v>0</v>
      </c>
      <c r="G5" s="7" t="n">
        <f aca="false">SUMPRODUCT((region_annual_ha!$A$2:$A$85=$A5)*(region_annual_ha!$B$2:$B$85="live")*(region_annual_ha!$D$1:$Z$1&gt;=periods!$B$2)*(region_annual_ha!$D$1:$Z$1&lt;=periods!$C$2)*region_annual_ha!$D$2:$Z$85)/(periods!$C$2-periods!$B$2+1)</f>
        <v>0</v>
      </c>
      <c r="H5" s="7" t="n">
        <f aca="false">SUMPRODUCT((region_annual_ha!$A$2:$A$85=$A5)*(region_annual_ha!$B$2:$B$85="live")*(region_annual_ha!$D$1:$Z$1&gt;=periods!$B$3)*(region_annual_ha!$D$1:$Z$1&lt;=periods!$C$3)*region_annual_ha!$D$2:$Z$85)/(periods!$C$3-periods!$B$3+1)</f>
        <v>22618.8270161745</v>
      </c>
      <c r="I5" s="7" t="n">
        <f aca="false">SUMPRODUCT((region_annual_ha!$A$2:$A$85=$A5)*(region_annual_ha!$B$2:$B$85="live")*(region_annual_ha!$D$1:$Z$1&gt;=periods!$B$4)*(region_annual_ha!$D$1:$Z$1&lt;=periods!$C$4)*region_annual_ha!$D$2:$Z$85)/(periods!$C$4-periods!$B$4+1)</f>
        <v>30007.7714264546</v>
      </c>
      <c r="J5" s="7" t="n">
        <f aca="false">SUMPRODUCT((region_annual_ha!$A$2:$A$85=$A5)*(region_annual_ha!$B$2:$B$85="live")*(region_annual_ha!$D$1:$Z$1&gt;=periods!$B$5)*(region_annual_ha!$D$1:$Z$1&lt;=periods!$C$5)*region_annual_ha!$D$2:$Z$85)/(periods!$C$5-periods!$B$5+1)</f>
        <v>43722.1929090557</v>
      </c>
      <c r="K5" s="7" t="n">
        <f aca="false">SUMPRODUCT((region_annual_ha!$A$2:$A$85=$A5)*(region_annual_ha!$B$2:$B$85="fors")*(region_annual_ha!$D$1:$Z$1&gt;=periods!$B$2)*(region_annual_ha!$D$1:$Z$1&lt;=periods!$C$2)*region_annual_ha!$D$2:$Z$85)/(periods!$C$2-periods!$B$2+1)</f>
        <v>2587.13696305399</v>
      </c>
      <c r="L5" s="7" t="n">
        <f aca="false">SUMPRODUCT((region_annual_ha!$A$2:$A$85=$A5)*(region_annual_ha!$B$2:$B$85="fors")*(region_annual_ha!$D$1:$Z$1&gt;=periods!$B$3)*(region_annual_ha!$D$1:$Z$1&lt;=periods!$C$3)*region_annual_ha!$D$2:$Z$85)/(periods!$C$3-periods!$B$3+1)</f>
        <v>1577.03622884041</v>
      </c>
      <c r="M5" s="7" t="n">
        <f aca="false">SUMPRODUCT((region_annual_ha!$A$2:$A$85=$A5)*(region_annual_ha!$B$2:$B$85="fors")*(region_annual_ha!$D$1:$Z$1&gt;=periods!$B$4)*(region_annual_ha!$D$1:$Z$1&lt;=periods!$C$4)*region_annual_ha!$D$2:$Z$85)/(periods!$C$4-periods!$B$4+1)</f>
        <v>0</v>
      </c>
      <c r="N5" s="7" t="n">
        <f aca="false">SUMPRODUCT((region_annual_ha!$A$2:$A$85=$A5)*(region_annual_ha!$B$2:$B$85="fors")*(region_annual_ha!$D$1:$Z$1&gt;=periods!$B$5)*(region_annual_ha!$D$1:$Z$1&lt;=periods!$C$5)*region_annual_ha!$D$2:$Z$85)/(periods!$C$5-periods!$B$5+1)</f>
        <v>0</v>
      </c>
      <c r="O5" s="7" t="n">
        <f aca="false">C5+G5+K5</f>
        <v>10578.505141663</v>
      </c>
      <c r="P5" s="7" t="n">
        <f aca="false">D5+H5+L5</f>
        <v>31340.2694964704</v>
      </c>
      <c r="Q5" s="7" t="n">
        <f aca="false">E5+I5+M5</f>
        <v>150935.34043713</v>
      </c>
      <c r="R5" s="7" t="n">
        <f aca="false">F5+J5+N5</f>
        <v>43722.1929090557</v>
      </c>
    </row>
    <row r="6" customFormat="false" ht="15" hidden="false" customHeight="false" outlineLevel="0" collapsed="false">
      <c r="A6" s="4" t="s">
        <v>37</v>
      </c>
      <c r="B6" s="4" t="s">
        <v>38</v>
      </c>
      <c r="C6" s="7" t="n">
        <f aca="false">SUMPRODUCT((region_annual_ha!$A$2:$A$85=$A6)*(region_annual_ha!$B$2:$B$85="crop")*(region_annual_ha!$D$1:$Z$1&gt;=periods!$B$2)*(region_annual_ha!$D$1:$Z$1&lt;=periods!$C$2)*region_annual_ha!$D$2:$Z$85)/(periods!$C$2-periods!$B$2+1)</f>
        <v>1596.44659538162</v>
      </c>
      <c r="D6" s="7" t="n">
        <f aca="false">SUMPRODUCT((region_annual_ha!$A$2:$A$85=$A6)*(region_annual_ha!$B$2:$B$85="crop")*(region_annual_ha!$D$1:$Z$1&gt;=periods!$B$3)*(region_annual_ha!$D$1:$Z$1&lt;=periods!$C$3)*region_annual_ha!$D$2:$Z$85)/(periods!$C$3-periods!$B$3+1)</f>
        <v>1222.71445468264</v>
      </c>
      <c r="E6" s="7" t="n">
        <f aca="false">SUMPRODUCT((region_annual_ha!$A$2:$A$85=$A6)*(region_annual_ha!$B$2:$B$85="crop")*(region_annual_ha!$D$1:$Z$1&gt;=periods!$B$4)*(region_annual_ha!$D$1:$Z$1&lt;=periods!$C$4)*region_annual_ha!$D$2:$Z$85)/(periods!$C$4-periods!$B$4+1)</f>
        <v>748.481546437577</v>
      </c>
      <c r="F6" s="7" t="n">
        <f aca="false">SUMPRODUCT((region_annual_ha!$A$2:$A$85=$A6)*(region_annual_ha!$B$2:$B$85="crop")*(region_annual_ha!$D$1:$Z$1&gt;=periods!$B$5)*(region_annual_ha!$D$1:$Z$1&lt;=periods!$C$5)*region_annual_ha!$D$2:$Z$85)/(periods!$C$5-periods!$B$5+1)</f>
        <v>227.601482496344</v>
      </c>
      <c r="G6" s="7" t="n">
        <f aca="false">SUMPRODUCT((region_annual_ha!$A$2:$A$85=$A6)*(region_annual_ha!$B$2:$B$85="live")*(region_annual_ha!$D$1:$Z$1&gt;=periods!$B$2)*(region_annual_ha!$D$1:$Z$1&lt;=periods!$C$2)*region_annual_ha!$D$2:$Z$85)/(periods!$C$2-periods!$B$2+1)</f>
        <v>119.78602208942</v>
      </c>
      <c r="H6" s="7" t="n">
        <f aca="false">SUMPRODUCT((region_annual_ha!$A$2:$A$85=$A6)*(region_annual_ha!$B$2:$B$85="live")*(region_annual_ha!$D$1:$Z$1&gt;=periods!$B$3)*(region_annual_ha!$D$1:$Z$1&lt;=periods!$C$3)*region_annual_ha!$D$2:$Z$85)/(periods!$C$3-periods!$B$3+1)</f>
        <v>88.1934749210484</v>
      </c>
      <c r="I6" s="7" t="n">
        <f aca="false">SUMPRODUCT((region_annual_ha!$A$2:$A$85=$A6)*(region_annual_ha!$B$2:$B$85="live")*(region_annual_ha!$D$1:$Z$1&gt;=periods!$B$4)*(region_annual_ha!$D$1:$Z$1&lt;=periods!$C$4)*region_annual_ha!$D$2:$Z$85)/(periods!$C$4-periods!$B$4+1)</f>
        <v>105.42349697088</v>
      </c>
      <c r="J6" s="7" t="n">
        <f aca="false">SUMPRODUCT((region_annual_ha!$A$2:$A$85=$A6)*(region_annual_ha!$B$2:$B$85="live")*(region_annual_ha!$D$1:$Z$1&gt;=periods!$B$5)*(region_annual_ha!$D$1:$Z$1&lt;=periods!$C$5)*region_annual_ha!$D$2:$Z$85)/(periods!$C$5-periods!$B$5+1)</f>
        <v>266.388525618132</v>
      </c>
      <c r="K6" s="7" t="n">
        <f aca="false">SUMPRODUCT((region_annual_ha!$A$2:$A$85=$A6)*(region_annual_ha!$B$2:$B$85="fors")*(region_annual_ha!$D$1:$Z$1&gt;=periods!$B$2)*(region_annual_ha!$D$1:$Z$1&lt;=periods!$C$2)*region_annual_ha!$D$2:$Z$85)/(periods!$C$2-periods!$B$2+1)</f>
        <v>0</v>
      </c>
      <c r="L6" s="7" t="n">
        <f aca="false">SUMPRODUCT((region_annual_ha!$A$2:$A$85=$A6)*(region_annual_ha!$B$2:$B$85="fors")*(region_annual_ha!$D$1:$Z$1&gt;=periods!$B$3)*(region_annual_ha!$D$1:$Z$1&lt;=periods!$C$3)*region_annual_ha!$D$2:$Z$85)/(periods!$C$3-periods!$B$3+1)</f>
        <v>0</v>
      </c>
      <c r="M6" s="7" t="n">
        <f aca="false">SUMPRODUCT((region_annual_ha!$A$2:$A$85=$A6)*(region_annual_ha!$B$2:$B$85="fors")*(region_annual_ha!$D$1:$Z$1&gt;=periods!$B$4)*(region_annual_ha!$D$1:$Z$1&lt;=periods!$C$4)*region_annual_ha!$D$2:$Z$85)/(periods!$C$4-periods!$B$4+1)</f>
        <v>0</v>
      </c>
      <c r="N6" s="7" t="n">
        <f aca="false">SUMPRODUCT((region_annual_ha!$A$2:$A$85=$A6)*(region_annual_ha!$B$2:$B$85="fors")*(region_annual_ha!$D$1:$Z$1&gt;=periods!$B$5)*(region_annual_ha!$D$1:$Z$1&lt;=periods!$C$5)*region_annual_ha!$D$2:$Z$85)/(periods!$C$5-periods!$B$5+1)</f>
        <v>0</v>
      </c>
      <c r="O6" s="7" t="n">
        <f aca="false">C6+G6+K6</f>
        <v>1716.23261747104</v>
      </c>
      <c r="P6" s="7" t="n">
        <f aca="false">D6+H6+L6</f>
        <v>1310.90792960368</v>
      </c>
      <c r="Q6" s="7" t="n">
        <f aca="false">E6+I6+M6</f>
        <v>853.905043408457</v>
      </c>
      <c r="R6" s="7" t="n">
        <f aca="false">F6+J6+N6</f>
        <v>493.990008114477</v>
      </c>
    </row>
    <row r="7" customFormat="false" ht="15" hidden="false" customHeight="false" outlineLevel="0" collapsed="false">
      <c r="A7" s="4" t="s">
        <v>39</v>
      </c>
      <c r="B7" s="4" t="s">
        <v>40</v>
      </c>
      <c r="C7" s="7" t="n">
        <f aca="false">SUMPRODUCT((region_annual_ha!$A$2:$A$85=$A7)*(region_annual_ha!$B$2:$B$85="crop")*(region_annual_ha!$D$1:$Z$1&gt;=periods!$B$2)*(region_annual_ha!$D$1:$Z$1&lt;=periods!$C$2)*region_annual_ha!$D$2:$Z$85)/(periods!$C$2-periods!$B$2+1)</f>
        <v>39379.2431371656</v>
      </c>
      <c r="D7" s="7" t="n">
        <f aca="false">SUMPRODUCT((region_annual_ha!$A$2:$A$85=$A7)*(region_annual_ha!$B$2:$B$85="crop")*(region_annual_ha!$D$1:$Z$1&gt;=periods!$B$3)*(region_annual_ha!$D$1:$Z$1&lt;=periods!$C$3)*region_annual_ha!$D$2:$Z$85)/(periods!$C$3-periods!$B$3+1)</f>
        <v>37103.1966877648</v>
      </c>
      <c r="E7" s="7" t="n">
        <f aca="false">SUMPRODUCT((region_annual_ha!$A$2:$A$85=$A7)*(region_annual_ha!$B$2:$B$85="crop")*(region_annual_ha!$D$1:$Z$1&gt;=periods!$B$4)*(region_annual_ha!$D$1:$Z$1&lt;=periods!$C$4)*region_annual_ha!$D$2:$Z$85)/(periods!$C$4-periods!$B$4+1)</f>
        <v>18131.2620513555</v>
      </c>
      <c r="F7" s="7" t="n">
        <f aca="false">SUMPRODUCT((region_annual_ha!$A$2:$A$85=$A7)*(region_annual_ha!$B$2:$B$85="crop")*(region_annual_ha!$D$1:$Z$1&gt;=periods!$B$5)*(region_annual_ha!$D$1:$Z$1&lt;=periods!$C$5)*region_annual_ha!$D$2:$Z$85)/(periods!$C$5-periods!$B$5+1)</f>
        <v>9480.56786346966</v>
      </c>
      <c r="G7" s="7" t="n">
        <f aca="false">SUMPRODUCT((region_annual_ha!$A$2:$A$85=$A7)*(region_annual_ha!$B$2:$B$85="live")*(region_annual_ha!$D$1:$Z$1&gt;=periods!$B$2)*(region_annual_ha!$D$1:$Z$1&lt;=periods!$C$2)*region_annual_ha!$D$2:$Z$85)/(periods!$C$2-periods!$B$2+1)</f>
        <v>5934.16261161584</v>
      </c>
      <c r="H7" s="7" t="n">
        <f aca="false">SUMPRODUCT((region_annual_ha!$A$2:$A$85=$A7)*(region_annual_ha!$B$2:$B$85="live")*(region_annual_ha!$D$1:$Z$1&gt;=periods!$B$3)*(region_annual_ha!$D$1:$Z$1&lt;=periods!$C$3)*region_annual_ha!$D$2:$Z$85)/(periods!$C$3-periods!$B$3+1)</f>
        <v>8061.72631671013</v>
      </c>
      <c r="I7" s="7" t="n">
        <f aca="false">SUMPRODUCT((region_annual_ha!$A$2:$A$85=$A7)*(region_annual_ha!$B$2:$B$85="live")*(region_annual_ha!$D$1:$Z$1&gt;=periods!$B$4)*(region_annual_ha!$D$1:$Z$1&lt;=periods!$C$4)*region_annual_ha!$D$2:$Z$85)/(periods!$C$4-periods!$B$4+1)</f>
        <v>10764.4560656253</v>
      </c>
      <c r="J7" s="7" t="n">
        <f aca="false">SUMPRODUCT((region_annual_ha!$A$2:$A$85=$A7)*(region_annual_ha!$B$2:$B$85="live")*(region_annual_ha!$D$1:$Z$1&gt;=periods!$B$5)*(region_annual_ha!$D$1:$Z$1&lt;=periods!$C$5)*region_annual_ha!$D$2:$Z$85)/(periods!$C$5-periods!$B$5+1)</f>
        <v>10409.8549180744</v>
      </c>
      <c r="K7" s="7" t="n">
        <f aca="false">SUMPRODUCT((region_annual_ha!$A$2:$A$85=$A7)*(region_annual_ha!$B$2:$B$85="fors")*(region_annual_ha!$D$1:$Z$1&gt;=periods!$B$2)*(region_annual_ha!$D$1:$Z$1&lt;=periods!$C$2)*region_annual_ha!$D$2:$Z$85)/(periods!$C$2-periods!$B$2+1)</f>
        <v>14214.775647656</v>
      </c>
      <c r="L7" s="7" t="n">
        <f aca="false">SUMPRODUCT((region_annual_ha!$A$2:$A$85=$A7)*(region_annual_ha!$B$2:$B$85="fors")*(region_annual_ha!$D$1:$Z$1&gt;=periods!$B$3)*(region_annual_ha!$D$1:$Z$1&lt;=periods!$C$3)*region_annual_ha!$D$2:$Z$85)/(periods!$C$3-periods!$B$3+1)</f>
        <v>3936.00026350548</v>
      </c>
      <c r="M7" s="7" t="n">
        <f aca="false">SUMPRODUCT((region_annual_ha!$A$2:$A$85=$A7)*(region_annual_ha!$B$2:$B$85="fors")*(region_annual_ha!$D$1:$Z$1&gt;=periods!$B$4)*(region_annual_ha!$D$1:$Z$1&lt;=periods!$C$4)*region_annual_ha!$D$2:$Z$85)/(periods!$C$4-periods!$B$4+1)</f>
        <v>15084.3510073065</v>
      </c>
      <c r="N7" s="7" t="n">
        <f aca="false">SUMPRODUCT((region_annual_ha!$A$2:$A$85=$A7)*(region_annual_ha!$B$2:$B$85="fors")*(region_annual_ha!$D$1:$Z$1&gt;=periods!$B$5)*(region_annual_ha!$D$1:$Z$1&lt;=periods!$C$5)*region_annual_ha!$D$2:$Z$85)/(periods!$C$5-periods!$B$5+1)</f>
        <v>17600.9268770644</v>
      </c>
      <c r="O7" s="7" t="n">
        <f aca="false">C7+G7+K7</f>
        <v>59528.1813964374</v>
      </c>
      <c r="P7" s="7" t="n">
        <f aca="false">D7+H7+L7</f>
        <v>49100.9232679804</v>
      </c>
      <c r="Q7" s="7" t="n">
        <f aca="false">E7+I7+M7</f>
        <v>43980.0691242873</v>
      </c>
      <c r="R7" s="7" t="n">
        <f aca="false">F7+J7+N7</f>
        <v>37491.3496586085</v>
      </c>
    </row>
    <row r="8" customFormat="false" ht="15" hidden="false" customHeight="false" outlineLevel="0" collapsed="false">
      <c r="A8" s="4" t="s">
        <v>41</v>
      </c>
      <c r="B8" s="4" t="s">
        <v>42</v>
      </c>
      <c r="C8" s="7" t="n">
        <f aca="false">SUMPRODUCT((region_annual_ha!$A$2:$A$85=$A8)*(region_annual_ha!$B$2:$B$85="crop")*(region_annual_ha!$D$1:$Z$1&gt;=periods!$B$2)*(region_annual_ha!$D$1:$Z$1&lt;=periods!$C$2)*region_annual_ha!$D$2:$Z$85)/(periods!$C$2-periods!$B$2+1)</f>
        <v>13010.0230248771</v>
      </c>
      <c r="D8" s="7" t="n">
        <f aca="false">SUMPRODUCT((region_annual_ha!$A$2:$A$85=$A8)*(region_annual_ha!$B$2:$B$85="crop")*(region_annual_ha!$D$1:$Z$1&gt;=periods!$B$3)*(region_annual_ha!$D$1:$Z$1&lt;=periods!$C$3)*region_annual_ha!$D$2:$Z$85)/(periods!$C$3-periods!$B$3+1)</f>
        <v>8716.12677631909</v>
      </c>
      <c r="E8" s="7" t="n">
        <f aca="false">SUMPRODUCT((region_annual_ha!$A$2:$A$85=$A8)*(region_annual_ha!$B$2:$B$85="crop")*(region_annual_ha!$D$1:$Z$1&gt;=periods!$B$4)*(region_annual_ha!$D$1:$Z$1&lt;=periods!$C$4)*region_annual_ha!$D$2:$Z$85)/(periods!$C$4-periods!$B$4+1)</f>
        <v>9845.97643433267</v>
      </c>
      <c r="F8" s="7" t="n">
        <f aca="false">SUMPRODUCT((region_annual_ha!$A$2:$A$85=$A8)*(region_annual_ha!$B$2:$B$85="crop")*(region_annual_ha!$D$1:$Z$1&gt;=periods!$B$5)*(region_annual_ha!$D$1:$Z$1&lt;=periods!$C$5)*region_annual_ha!$D$2:$Z$85)/(periods!$C$5-periods!$B$5+1)</f>
        <v>3044.7191766731</v>
      </c>
      <c r="G8" s="7" t="n">
        <f aca="false">SUMPRODUCT((region_annual_ha!$A$2:$A$85=$A8)*(region_annual_ha!$B$2:$B$85="live")*(region_annual_ha!$D$1:$Z$1&gt;=periods!$B$2)*(region_annual_ha!$D$1:$Z$1&lt;=periods!$C$2)*region_annual_ha!$D$2:$Z$85)/(periods!$C$2-periods!$B$2+1)</f>
        <v>4556.2304612151</v>
      </c>
      <c r="H8" s="7" t="n">
        <f aca="false">SUMPRODUCT((region_annual_ha!$A$2:$A$85=$A8)*(region_annual_ha!$B$2:$B$85="live")*(region_annual_ha!$D$1:$Z$1&gt;=periods!$B$3)*(region_annual_ha!$D$1:$Z$1&lt;=periods!$C$3)*region_annual_ha!$D$2:$Z$85)/(periods!$C$3-periods!$B$3+1)</f>
        <v>4626.6429451906</v>
      </c>
      <c r="I8" s="7" t="n">
        <f aca="false">SUMPRODUCT((region_annual_ha!$A$2:$A$85=$A8)*(region_annual_ha!$B$2:$B$85="live")*(region_annual_ha!$D$1:$Z$1&gt;=periods!$B$4)*(region_annual_ha!$D$1:$Z$1&lt;=periods!$C$4)*region_annual_ha!$D$2:$Z$85)/(periods!$C$4-periods!$B$4+1)</f>
        <v>6182.32249472337</v>
      </c>
      <c r="J8" s="7" t="n">
        <f aca="false">SUMPRODUCT((region_annual_ha!$A$2:$A$85=$A8)*(region_annual_ha!$B$2:$B$85="live")*(region_annual_ha!$D$1:$Z$1&gt;=periods!$B$5)*(region_annual_ha!$D$1:$Z$1&lt;=periods!$C$5)*region_annual_ha!$D$2:$Z$85)/(periods!$C$5-periods!$B$5+1)</f>
        <v>4474.49352667839</v>
      </c>
      <c r="K8" s="7" t="n">
        <f aca="false">SUMPRODUCT((region_annual_ha!$A$2:$A$85=$A8)*(region_annual_ha!$B$2:$B$85="fors")*(region_annual_ha!$D$1:$Z$1&gt;=periods!$B$2)*(region_annual_ha!$D$1:$Z$1&lt;=periods!$C$2)*region_annual_ha!$D$2:$Z$85)/(periods!$C$2-periods!$B$2+1)</f>
        <v>20503.1379550303</v>
      </c>
      <c r="L8" s="7" t="n">
        <f aca="false">SUMPRODUCT((region_annual_ha!$A$2:$A$85=$A8)*(region_annual_ha!$B$2:$B$85="fors")*(region_annual_ha!$D$1:$Z$1&gt;=periods!$B$3)*(region_annual_ha!$D$1:$Z$1&lt;=periods!$C$3)*region_annual_ha!$D$2:$Z$85)/(periods!$C$3-periods!$B$3+1)</f>
        <v>5932.0249375988</v>
      </c>
      <c r="M8" s="7" t="n">
        <f aca="false">SUMPRODUCT((region_annual_ha!$A$2:$A$85=$A8)*(region_annual_ha!$B$2:$B$85="fors")*(region_annual_ha!$D$1:$Z$1&gt;=periods!$B$4)*(region_annual_ha!$D$1:$Z$1&lt;=periods!$C$4)*region_annual_ha!$D$2:$Z$85)/(periods!$C$4-periods!$B$4+1)</f>
        <v>5923.66093352305</v>
      </c>
      <c r="N8" s="7" t="n">
        <f aca="false">SUMPRODUCT((region_annual_ha!$A$2:$A$85=$A8)*(region_annual_ha!$B$2:$B$85="fors")*(region_annual_ha!$D$1:$Z$1&gt;=periods!$B$5)*(region_annual_ha!$D$1:$Z$1&lt;=periods!$C$5)*region_annual_ha!$D$2:$Z$85)/(periods!$C$5-periods!$B$5+1)</f>
        <v>6499.39598294197</v>
      </c>
      <c r="O8" s="7" t="n">
        <f aca="false">C8+G8+K8</f>
        <v>38069.3914411225</v>
      </c>
      <c r="P8" s="7" t="n">
        <f aca="false">D8+H8+L8</f>
        <v>19274.7946591085</v>
      </c>
      <c r="Q8" s="7" t="n">
        <f aca="false">E8+I8+M8</f>
        <v>21951.9598625791</v>
      </c>
      <c r="R8" s="7" t="n">
        <f aca="false">F8+J8+N8</f>
        <v>14018.6086862935</v>
      </c>
    </row>
    <row r="9" customFormat="false" ht="15" hidden="false" customHeight="false" outlineLevel="0" collapsed="false">
      <c r="A9" s="4" t="s">
        <v>43</v>
      </c>
      <c r="B9" s="4" t="s">
        <v>44</v>
      </c>
      <c r="C9" s="7" t="n">
        <f aca="false">SUMPRODUCT((region_annual_ha!$A$2:$A$85=$A9)*(region_annual_ha!$B$2:$B$85="crop")*(region_annual_ha!$D$1:$Z$1&gt;=periods!$B$2)*(region_annual_ha!$D$1:$Z$1&lt;=periods!$C$2)*region_annual_ha!$D$2:$Z$85)/(periods!$C$2-periods!$B$2+1)</f>
        <v>2470.86268555999</v>
      </c>
      <c r="D9" s="7" t="n">
        <f aca="false">SUMPRODUCT((region_annual_ha!$A$2:$A$85=$A9)*(region_annual_ha!$B$2:$B$85="crop")*(region_annual_ha!$D$1:$Z$1&gt;=periods!$B$3)*(region_annual_ha!$D$1:$Z$1&lt;=periods!$C$3)*region_annual_ha!$D$2:$Z$85)/(periods!$C$3-periods!$B$3+1)</f>
        <v>3345.88736004168</v>
      </c>
      <c r="E9" s="7" t="n">
        <f aca="false">SUMPRODUCT((region_annual_ha!$A$2:$A$85=$A9)*(region_annual_ha!$B$2:$B$85="crop")*(region_annual_ha!$D$1:$Z$1&gt;=periods!$B$4)*(region_annual_ha!$D$1:$Z$1&lt;=periods!$C$4)*region_annual_ha!$D$2:$Z$85)/(periods!$C$4-periods!$B$4+1)</f>
        <v>5774.56079104166</v>
      </c>
      <c r="F9" s="7" t="n">
        <f aca="false">SUMPRODUCT((region_annual_ha!$A$2:$A$85=$A9)*(region_annual_ha!$B$2:$B$85="crop")*(region_annual_ha!$D$1:$Z$1&gt;=periods!$B$5)*(region_annual_ha!$D$1:$Z$1&lt;=periods!$C$5)*region_annual_ha!$D$2:$Z$85)/(periods!$C$5-periods!$B$5+1)</f>
        <v>975.029837829999</v>
      </c>
      <c r="G9" s="7" t="n">
        <f aca="false">SUMPRODUCT((region_annual_ha!$A$2:$A$85=$A9)*(region_annual_ha!$B$2:$B$85="live")*(region_annual_ha!$D$1:$Z$1&gt;=periods!$B$2)*(region_annual_ha!$D$1:$Z$1&lt;=periods!$C$2)*region_annual_ha!$D$2:$Z$85)/(periods!$C$2-periods!$B$2+1)</f>
        <v>1115.77236931795</v>
      </c>
      <c r="H9" s="7" t="n">
        <f aca="false">SUMPRODUCT((region_annual_ha!$A$2:$A$85=$A9)*(region_annual_ha!$B$2:$B$85="live")*(region_annual_ha!$D$1:$Z$1&gt;=periods!$B$3)*(region_annual_ha!$D$1:$Z$1&lt;=periods!$C$3)*region_annual_ha!$D$2:$Z$85)/(periods!$C$3-periods!$B$3+1)</f>
        <v>457.428765513789</v>
      </c>
      <c r="I9" s="7" t="n">
        <f aca="false">SUMPRODUCT((region_annual_ha!$A$2:$A$85=$A9)*(region_annual_ha!$B$2:$B$85="live")*(region_annual_ha!$D$1:$Z$1&gt;=periods!$B$4)*(region_annual_ha!$D$1:$Z$1&lt;=periods!$C$4)*region_annual_ha!$D$2:$Z$85)/(periods!$C$4-periods!$B$4+1)</f>
        <v>584.457808620048</v>
      </c>
      <c r="J9" s="7" t="n">
        <f aca="false">SUMPRODUCT((region_annual_ha!$A$2:$A$85=$A9)*(region_annual_ha!$B$2:$B$85="live")*(region_annual_ha!$D$1:$Z$1&gt;=periods!$B$5)*(region_annual_ha!$D$1:$Z$1&lt;=periods!$C$5)*region_annual_ha!$D$2:$Z$85)/(periods!$C$5-periods!$B$5+1)</f>
        <v>565.851338803225</v>
      </c>
      <c r="K9" s="7" t="n">
        <f aca="false">SUMPRODUCT((region_annual_ha!$A$2:$A$85=$A9)*(region_annual_ha!$B$2:$B$85="fors")*(region_annual_ha!$D$1:$Z$1&gt;=periods!$B$2)*(region_annual_ha!$D$1:$Z$1&lt;=periods!$C$2)*region_annual_ha!$D$2:$Z$85)/(periods!$C$2-periods!$B$2+1)</f>
        <v>5791.59916204025</v>
      </c>
      <c r="L9" s="7" t="n">
        <f aca="false">SUMPRODUCT((region_annual_ha!$A$2:$A$85=$A9)*(region_annual_ha!$B$2:$B$85="fors")*(region_annual_ha!$D$1:$Z$1&gt;=periods!$B$3)*(region_annual_ha!$D$1:$Z$1&lt;=periods!$C$3)*region_annual_ha!$D$2:$Z$85)/(periods!$C$3-periods!$B$3+1)</f>
        <v>5723.62478868454</v>
      </c>
      <c r="M9" s="7" t="n">
        <f aca="false">SUMPRODUCT((region_annual_ha!$A$2:$A$85=$A9)*(region_annual_ha!$B$2:$B$85="fors")*(region_annual_ha!$D$1:$Z$1&gt;=periods!$B$4)*(region_annual_ha!$D$1:$Z$1&lt;=periods!$C$4)*region_annual_ha!$D$2:$Z$85)/(periods!$C$4-periods!$B$4+1)</f>
        <v>1885.36764851575</v>
      </c>
      <c r="N9" s="7" t="n">
        <f aca="false">SUMPRODUCT((region_annual_ha!$A$2:$A$85=$A9)*(region_annual_ha!$B$2:$B$85="fors")*(region_annual_ha!$D$1:$Z$1&gt;=periods!$B$5)*(region_annual_ha!$D$1:$Z$1&lt;=periods!$C$5)*region_annual_ha!$D$2:$Z$85)/(periods!$C$5-periods!$B$5+1)</f>
        <v>1736.56911876005</v>
      </c>
      <c r="O9" s="7" t="n">
        <f aca="false">C9+G9+K9</f>
        <v>9378.23421691819</v>
      </c>
      <c r="P9" s="7" t="n">
        <f aca="false">D9+H9+L9</f>
        <v>9526.94091424002</v>
      </c>
      <c r="Q9" s="7" t="n">
        <f aca="false">E9+I9+M9</f>
        <v>8244.38624817746</v>
      </c>
      <c r="R9" s="7" t="n">
        <f aca="false">F9+J9+N9</f>
        <v>3277.45029539327</v>
      </c>
    </row>
    <row r="10" customFormat="false" ht="15" hidden="false" customHeight="false" outlineLevel="0" collapsed="false">
      <c r="A10" s="4" t="s">
        <v>45</v>
      </c>
      <c r="B10" s="4" t="s">
        <v>46</v>
      </c>
      <c r="C10" s="7" t="n">
        <f aca="false">SUMPRODUCT((region_annual_ha!$A$2:$A$85=$A10)*(region_annual_ha!$B$2:$B$85="crop")*(region_annual_ha!$D$1:$Z$1&gt;=periods!$B$2)*(region_annual_ha!$D$1:$Z$1&lt;=periods!$C$2)*region_annual_ha!$D$2:$Z$85)/(periods!$C$2-periods!$B$2+1)</f>
        <v>6412.9034700839</v>
      </c>
      <c r="D10" s="7" t="n">
        <f aca="false">SUMPRODUCT((region_annual_ha!$A$2:$A$85=$A10)*(region_annual_ha!$B$2:$B$85="crop")*(region_annual_ha!$D$1:$Z$1&gt;=periods!$B$3)*(region_annual_ha!$D$1:$Z$1&lt;=periods!$C$3)*region_annual_ha!$D$2:$Z$85)/(periods!$C$3-periods!$B$3+1)</f>
        <v>6589.63899140607</v>
      </c>
      <c r="E10" s="7" t="n">
        <f aca="false">SUMPRODUCT((region_annual_ha!$A$2:$A$85=$A10)*(region_annual_ha!$B$2:$B$85="crop")*(region_annual_ha!$D$1:$Z$1&gt;=periods!$B$4)*(region_annual_ha!$D$1:$Z$1&lt;=periods!$C$4)*region_annual_ha!$D$2:$Z$85)/(periods!$C$4-periods!$B$4+1)</f>
        <v>4938.26935919958</v>
      </c>
      <c r="F10" s="7" t="n">
        <f aca="false">SUMPRODUCT((region_annual_ha!$A$2:$A$85=$A10)*(region_annual_ha!$B$2:$B$85="crop")*(region_annual_ha!$D$1:$Z$1&gt;=periods!$B$5)*(region_annual_ha!$D$1:$Z$1&lt;=periods!$C$5)*region_annual_ha!$D$2:$Z$85)/(periods!$C$5-periods!$B$5+1)</f>
        <v>1116.55349240631</v>
      </c>
      <c r="G10" s="7" t="n">
        <f aca="false">SUMPRODUCT((region_annual_ha!$A$2:$A$85=$A10)*(region_annual_ha!$B$2:$B$85="live")*(region_annual_ha!$D$1:$Z$1&gt;=periods!$B$2)*(region_annual_ha!$D$1:$Z$1&lt;=periods!$C$2)*region_annual_ha!$D$2:$Z$85)/(periods!$C$2-periods!$B$2+1)</f>
        <v>9323.83036380987</v>
      </c>
      <c r="H10" s="7" t="n">
        <f aca="false">SUMPRODUCT((region_annual_ha!$A$2:$A$85=$A10)*(region_annual_ha!$B$2:$B$85="live")*(region_annual_ha!$D$1:$Z$1&gt;=periods!$B$3)*(region_annual_ha!$D$1:$Z$1&lt;=periods!$C$3)*region_annual_ha!$D$2:$Z$85)/(periods!$C$3-periods!$B$3+1)</f>
        <v>9952.17897582958</v>
      </c>
      <c r="I10" s="7" t="n">
        <f aca="false">SUMPRODUCT((region_annual_ha!$A$2:$A$85=$A10)*(region_annual_ha!$B$2:$B$85="live")*(region_annual_ha!$D$1:$Z$1&gt;=periods!$B$4)*(region_annual_ha!$D$1:$Z$1&lt;=periods!$C$4)*region_annual_ha!$D$2:$Z$85)/(periods!$C$4-periods!$B$4+1)</f>
        <v>4037.87197658255</v>
      </c>
      <c r="J10" s="7" t="n">
        <f aca="false">SUMPRODUCT((region_annual_ha!$A$2:$A$85=$A10)*(region_annual_ha!$B$2:$B$85="live")*(region_annual_ha!$D$1:$Z$1&gt;=periods!$B$5)*(region_annual_ha!$D$1:$Z$1&lt;=periods!$C$5)*region_annual_ha!$D$2:$Z$85)/(periods!$C$5-periods!$B$5+1)</f>
        <v>1994.12054401159</v>
      </c>
      <c r="K10" s="7" t="n">
        <f aca="false">SUMPRODUCT((region_annual_ha!$A$2:$A$85=$A10)*(region_annual_ha!$B$2:$B$85="fors")*(region_annual_ha!$D$1:$Z$1&gt;=periods!$B$2)*(region_annual_ha!$D$1:$Z$1&lt;=periods!$C$2)*region_annual_ha!$D$2:$Z$85)/(periods!$C$2-periods!$B$2+1)</f>
        <v>0</v>
      </c>
      <c r="L10" s="7" t="n">
        <f aca="false">SUMPRODUCT((region_annual_ha!$A$2:$A$85=$A10)*(region_annual_ha!$B$2:$B$85="fors")*(region_annual_ha!$D$1:$Z$1&gt;=periods!$B$3)*(region_annual_ha!$D$1:$Z$1&lt;=periods!$C$3)*region_annual_ha!$D$2:$Z$85)/(periods!$C$3-periods!$B$3+1)</f>
        <v>0</v>
      </c>
      <c r="M10" s="7" t="n">
        <f aca="false">SUMPRODUCT((region_annual_ha!$A$2:$A$85=$A10)*(region_annual_ha!$B$2:$B$85="fors")*(region_annual_ha!$D$1:$Z$1&gt;=periods!$B$4)*(region_annual_ha!$D$1:$Z$1&lt;=periods!$C$4)*region_annual_ha!$D$2:$Z$85)/(periods!$C$4-periods!$B$4+1)</f>
        <v>0</v>
      </c>
      <c r="N10" s="7" t="n">
        <f aca="false">SUMPRODUCT((region_annual_ha!$A$2:$A$85=$A10)*(region_annual_ha!$B$2:$B$85="fors")*(region_annual_ha!$D$1:$Z$1&gt;=periods!$B$5)*(region_annual_ha!$D$1:$Z$1&lt;=periods!$C$5)*region_annual_ha!$D$2:$Z$85)/(periods!$C$5-periods!$B$5+1)</f>
        <v>0</v>
      </c>
      <c r="O10" s="7" t="n">
        <f aca="false">C10+G10+K10</f>
        <v>15736.7338338938</v>
      </c>
      <c r="P10" s="7" t="n">
        <f aca="false">D10+H10+L10</f>
        <v>16541.8179672357</v>
      </c>
      <c r="Q10" s="7" t="n">
        <f aca="false">E10+I10+M10</f>
        <v>8976.14133578213</v>
      </c>
      <c r="R10" s="7" t="n">
        <f aca="false">F10+J10+N10</f>
        <v>3110.67403641789</v>
      </c>
    </row>
    <row r="11" customFormat="false" ht="15" hidden="false" customHeight="false" outlineLevel="0" collapsed="false">
      <c r="A11" s="4" t="s">
        <v>47</v>
      </c>
      <c r="B11" s="4" t="s">
        <v>48</v>
      </c>
      <c r="C11" s="7" t="n">
        <f aca="false">SUMPRODUCT((region_annual_ha!$A$2:$A$85=$A11)*(region_annual_ha!$B$2:$B$85="crop")*(region_annual_ha!$D$1:$Z$1&gt;=periods!$B$2)*(region_annual_ha!$D$1:$Z$1&lt;=periods!$C$2)*region_annual_ha!$D$2:$Z$85)/(periods!$C$2-periods!$B$2+1)</f>
        <v>230627.710412622</v>
      </c>
      <c r="D11" s="7" t="n">
        <f aca="false">SUMPRODUCT((region_annual_ha!$A$2:$A$85=$A11)*(region_annual_ha!$B$2:$B$85="crop")*(region_annual_ha!$D$1:$Z$1&gt;=periods!$B$3)*(region_annual_ha!$D$1:$Z$1&lt;=periods!$C$3)*region_annual_ha!$D$2:$Z$85)/(periods!$C$3-periods!$B$3+1)</f>
        <v>201406.335974014</v>
      </c>
      <c r="E11" s="7" t="n">
        <f aca="false">SUMPRODUCT((region_annual_ha!$A$2:$A$85=$A11)*(region_annual_ha!$B$2:$B$85="crop")*(region_annual_ha!$D$1:$Z$1&gt;=periods!$B$4)*(region_annual_ha!$D$1:$Z$1&lt;=periods!$C$4)*region_annual_ha!$D$2:$Z$85)/(periods!$C$4-periods!$B$4+1)</f>
        <v>190319.424106829</v>
      </c>
      <c r="F11" s="7" t="n">
        <f aca="false">SUMPRODUCT((region_annual_ha!$A$2:$A$85=$A11)*(region_annual_ha!$B$2:$B$85="crop")*(region_annual_ha!$D$1:$Z$1&gt;=periods!$B$5)*(region_annual_ha!$D$1:$Z$1&lt;=periods!$C$5)*region_annual_ha!$D$2:$Z$85)/(periods!$C$5-periods!$B$5+1)</f>
        <v>100011.907261775</v>
      </c>
      <c r="G11" s="7" t="n">
        <f aca="false">SUMPRODUCT((region_annual_ha!$A$2:$A$85=$A11)*(region_annual_ha!$B$2:$B$85="live")*(region_annual_ha!$D$1:$Z$1&gt;=periods!$B$2)*(region_annual_ha!$D$1:$Z$1&lt;=periods!$C$2)*region_annual_ha!$D$2:$Z$85)/(periods!$C$2-periods!$B$2+1)</f>
        <v>13136.0829658903</v>
      </c>
      <c r="H11" s="7" t="n">
        <f aca="false">SUMPRODUCT((region_annual_ha!$A$2:$A$85=$A11)*(region_annual_ha!$B$2:$B$85="live")*(region_annual_ha!$D$1:$Z$1&gt;=periods!$B$3)*(region_annual_ha!$D$1:$Z$1&lt;=periods!$C$3)*region_annual_ha!$D$2:$Z$85)/(periods!$C$3-periods!$B$3+1)</f>
        <v>21613.7213359276</v>
      </c>
      <c r="I11" s="7" t="n">
        <f aca="false">SUMPRODUCT((region_annual_ha!$A$2:$A$85=$A11)*(region_annual_ha!$B$2:$B$85="live")*(region_annual_ha!$D$1:$Z$1&gt;=periods!$B$4)*(region_annual_ha!$D$1:$Z$1&lt;=periods!$C$4)*region_annual_ha!$D$2:$Z$85)/(periods!$C$4-periods!$B$4+1)</f>
        <v>26363.7980944654</v>
      </c>
      <c r="J11" s="7" t="n">
        <f aca="false">SUMPRODUCT((region_annual_ha!$A$2:$A$85=$A11)*(region_annual_ha!$B$2:$B$85="live")*(region_annual_ha!$D$1:$Z$1&gt;=periods!$B$5)*(region_annual_ha!$D$1:$Z$1&lt;=periods!$C$5)*region_annual_ha!$D$2:$Z$85)/(periods!$C$5-periods!$B$5+1)</f>
        <v>46822.1723736406</v>
      </c>
      <c r="K11" s="7" t="n">
        <f aca="false">SUMPRODUCT((region_annual_ha!$A$2:$A$85=$A11)*(region_annual_ha!$B$2:$B$85="fors")*(region_annual_ha!$D$1:$Z$1&gt;=periods!$B$2)*(region_annual_ha!$D$1:$Z$1&lt;=periods!$C$2)*region_annual_ha!$D$2:$Z$85)/(periods!$C$2-periods!$B$2+1)</f>
        <v>34765.7703189057</v>
      </c>
      <c r="L11" s="7" t="n">
        <f aca="false">SUMPRODUCT((region_annual_ha!$A$2:$A$85=$A11)*(region_annual_ha!$B$2:$B$85="fors")*(region_annual_ha!$D$1:$Z$1&gt;=periods!$B$3)*(region_annual_ha!$D$1:$Z$1&lt;=periods!$C$3)*region_annual_ha!$D$2:$Z$85)/(periods!$C$3-periods!$B$3+1)</f>
        <v>40975.7022669701</v>
      </c>
      <c r="M11" s="7" t="n">
        <f aca="false">SUMPRODUCT((region_annual_ha!$A$2:$A$85=$A11)*(region_annual_ha!$B$2:$B$85="fors")*(region_annual_ha!$D$1:$Z$1&gt;=periods!$B$4)*(region_annual_ha!$D$1:$Z$1&lt;=periods!$C$4)*region_annual_ha!$D$2:$Z$85)/(periods!$C$4-periods!$B$4+1)</f>
        <v>2400.59113153599</v>
      </c>
      <c r="N11" s="7" t="n">
        <f aca="false">SUMPRODUCT((region_annual_ha!$A$2:$A$85=$A11)*(region_annual_ha!$B$2:$B$85="fors")*(region_annual_ha!$D$1:$Z$1&gt;=periods!$B$5)*(region_annual_ha!$D$1:$Z$1&lt;=periods!$C$5)*region_annual_ha!$D$2:$Z$85)/(periods!$C$5-periods!$B$5+1)</f>
        <v>1587.84254650262</v>
      </c>
      <c r="O11" s="7" t="n">
        <f aca="false">C11+G11+K11</f>
        <v>278529.563697418</v>
      </c>
      <c r="P11" s="7" t="n">
        <f aca="false">D11+H11+L11</f>
        <v>263995.759576912</v>
      </c>
      <c r="Q11" s="7" t="n">
        <f aca="false">E11+I11+M11</f>
        <v>219083.81333283</v>
      </c>
      <c r="R11" s="7" t="n">
        <f aca="false">F11+J11+N11</f>
        <v>148421.922181918</v>
      </c>
    </row>
    <row r="12" customFormat="false" ht="15" hidden="false" customHeight="false" outlineLevel="0" collapsed="false">
      <c r="A12" s="4" t="s">
        <v>49</v>
      </c>
      <c r="B12" s="4" t="s">
        <v>50</v>
      </c>
      <c r="C12" s="7" t="n">
        <f aca="false">SUMPRODUCT((region_annual_ha!$A$2:$A$85=$A12)*(region_annual_ha!$B$2:$B$85="crop")*(region_annual_ha!$D$1:$Z$1&gt;=periods!$B$2)*(region_annual_ha!$D$1:$Z$1&lt;=periods!$C$2)*region_annual_ha!$D$2:$Z$85)/(periods!$C$2-periods!$B$2+1)</f>
        <v>18664.728759035</v>
      </c>
      <c r="D12" s="7" t="n">
        <f aca="false">SUMPRODUCT((region_annual_ha!$A$2:$A$85=$A12)*(region_annual_ha!$B$2:$B$85="crop")*(region_annual_ha!$D$1:$Z$1&gt;=periods!$B$3)*(region_annual_ha!$D$1:$Z$1&lt;=periods!$C$3)*region_annual_ha!$D$2:$Z$85)/(periods!$C$3-periods!$B$3+1)</f>
        <v>13218.0810227605</v>
      </c>
      <c r="E12" s="7" t="n">
        <f aca="false">SUMPRODUCT((region_annual_ha!$A$2:$A$85=$A12)*(region_annual_ha!$B$2:$B$85="crop")*(region_annual_ha!$D$1:$Z$1&gt;=periods!$B$4)*(region_annual_ha!$D$1:$Z$1&lt;=periods!$C$4)*region_annual_ha!$D$2:$Z$85)/(periods!$C$4-periods!$B$4+1)</f>
        <v>29911.3378916752</v>
      </c>
      <c r="F12" s="7" t="n">
        <f aca="false">SUMPRODUCT((region_annual_ha!$A$2:$A$85=$A12)*(region_annual_ha!$B$2:$B$85="crop")*(region_annual_ha!$D$1:$Z$1&gt;=periods!$B$5)*(region_annual_ha!$D$1:$Z$1&lt;=periods!$C$5)*region_annual_ha!$D$2:$Z$85)/(periods!$C$5-periods!$B$5+1)</f>
        <v>21290.3159658774</v>
      </c>
      <c r="G12" s="7" t="n">
        <f aca="false">SUMPRODUCT((region_annual_ha!$A$2:$A$85=$A12)*(region_annual_ha!$B$2:$B$85="live")*(region_annual_ha!$D$1:$Z$1&gt;=periods!$B$2)*(region_annual_ha!$D$1:$Z$1&lt;=periods!$C$2)*region_annual_ha!$D$2:$Z$85)/(periods!$C$2-periods!$B$2+1)</f>
        <v>49718.4182433641</v>
      </c>
      <c r="H12" s="7" t="n">
        <f aca="false">SUMPRODUCT((region_annual_ha!$A$2:$A$85=$A12)*(region_annual_ha!$B$2:$B$85="live")*(region_annual_ha!$D$1:$Z$1&gt;=periods!$B$3)*(region_annual_ha!$D$1:$Z$1&lt;=periods!$C$3)*region_annual_ha!$D$2:$Z$85)/(periods!$C$3-periods!$B$3+1)</f>
        <v>48731.822999039</v>
      </c>
      <c r="I12" s="7" t="n">
        <f aca="false">SUMPRODUCT((region_annual_ha!$A$2:$A$85=$A12)*(region_annual_ha!$B$2:$B$85="live")*(region_annual_ha!$D$1:$Z$1&gt;=periods!$B$4)*(region_annual_ha!$D$1:$Z$1&lt;=periods!$C$4)*region_annual_ha!$D$2:$Z$85)/(periods!$C$4-periods!$B$4+1)</f>
        <v>39208.584332082</v>
      </c>
      <c r="J12" s="7" t="n">
        <f aca="false">SUMPRODUCT((region_annual_ha!$A$2:$A$85=$A12)*(region_annual_ha!$B$2:$B$85="live")*(region_annual_ha!$D$1:$Z$1&gt;=periods!$B$5)*(region_annual_ha!$D$1:$Z$1&lt;=periods!$C$5)*region_annual_ha!$D$2:$Z$85)/(periods!$C$5-periods!$B$5+1)</f>
        <v>22837.2363616367</v>
      </c>
      <c r="K12" s="7" t="n">
        <f aca="false">SUMPRODUCT((region_annual_ha!$A$2:$A$85=$A12)*(region_annual_ha!$B$2:$B$85="fors")*(region_annual_ha!$D$1:$Z$1&gt;=periods!$B$2)*(region_annual_ha!$D$1:$Z$1&lt;=periods!$C$2)*region_annual_ha!$D$2:$Z$85)/(periods!$C$2-periods!$B$2+1)</f>
        <v>213523.333333334</v>
      </c>
      <c r="L12" s="7" t="n">
        <f aca="false">SUMPRODUCT((region_annual_ha!$A$2:$A$85=$A12)*(region_annual_ha!$B$2:$B$85="fors")*(region_annual_ha!$D$1:$Z$1&gt;=periods!$B$3)*(region_annual_ha!$D$1:$Z$1&lt;=periods!$C$3)*region_annual_ha!$D$2:$Z$85)/(periods!$C$3-periods!$B$3+1)</f>
        <v>235829.54845179</v>
      </c>
      <c r="M12" s="7" t="n">
        <f aca="false">SUMPRODUCT((region_annual_ha!$A$2:$A$85=$A12)*(region_annual_ha!$B$2:$B$85="fors")*(region_annual_ha!$D$1:$Z$1&gt;=periods!$B$4)*(region_annual_ha!$D$1:$Z$1&lt;=periods!$C$4)*region_annual_ha!$D$2:$Z$85)/(periods!$C$4-periods!$B$4+1)</f>
        <v>347362.514749012</v>
      </c>
      <c r="N12" s="7" t="n">
        <f aca="false">SUMPRODUCT((region_annual_ha!$A$2:$A$85=$A12)*(region_annual_ha!$B$2:$B$85="fors")*(region_annual_ha!$D$1:$Z$1&gt;=periods!$B$5)*(region_annual_ha!$D$1:$Z$1&lt;=periods!$C$5)*region_annual_ha!$D$2:$Z$85)/(periods!$C$5-periods!$B$5+1)</f>
        <v>395369.755498063</v>
      </c>
      <c r="O12" s="7" t="n">
        <f aca="false">C12+G12+K12</f>
        <v>281906.480335733</v>
      </c>
      <c r="P12" s="7" t="n">
        <f aca="false">D12+H12+L12</f>
        <v>297779.452473589</v>
      </c>
      <c r="Q12" s="7" t="n">
        <f aca="false">E12+I12+M12</f>
        <v>416482.436972769</v>
      </c>
      <c r="R12" s="7" t="n">
        <f aca="false">F12+J12+N12</f>
        <v>439497.307825577</v>
      </c>
    </row>
    <row r="13" customFormat="false" ht="15" hidden="false" customHeight="false" outlineLevel="0" collapsed="false">
      <c r="A13" s="4" t="s">
        <v>51</v>
      </c>
      <c r="B13" s="4" t="s">
        <v>52</v>
      </c>
      <c r="C13" s="7" t="n">
        <f aca="false">SUMPRODUCT((region_annual_ha!$A$2:$A$85=$A13)*(region_annual_ha!$B$2:$B$85="crop")*(region_annual_ha!$D$1:$Z$1&gt;=periods!$B$2)*(region_annual_ha!$D$1:$Z$1&lt;=periods!$C$2)*region_annual_ha!$D$2:$Z$85)/(periods!$C$2-periods!$B$2+1)</f>
        <v>32946.9707285374</v>
      </c>
      <c r="D13" s="7" t="n">
        <f aca="false">SUMPRODUCT((region_annual_ha!$A$2:$A$85=$A13)*(region_annual_ha!$B$2:$B$85="crop")*(region_annual_ha!$D$1:$Z$1&gt;=periods!$B$3)*(region_annual_ha!$D$1:$Z$1&lt;=periods!$C$3)*region_annual_ha!$D$2:$Z$85)/(periods!$C$3-periods!$B$3+1)</f>
        <v>40650.3034504928</v>
      </c>
      <c r="E13" s="7" t="n">
        <f aca="false">SUMPRODUCT((region_annual_ha!$A$2:$A$85=$A13)*(region_annual_ha!$B$2:$B$85="crop")*(region_annual_ha!$D$1:$Z$1&gt;=periods!$B$4)*(region_annual_ha!$D$1:$Z$1&lt;=periods!$C$4)*region_annual_ha!$D$2:$Z$85)/(periods!$C$4-periods!$B$4+1)</f>
        <v>57358.3249165145</v>
      </c>
      <c r="F13" s="7" t="n">
        <f aca="false">SUMPRODUCT((region_annual_ha!$A$2:$A$85=$A13)*(region_annual_ha!$B$2:$B$85="crop")*(region_annual_ha!$D$1:$Z$1&gt;=periods!$B$5)*(region_annual_ha!$D$1:$Z$1&lt;=periods!$C$5)*region_annual_ha!$D$2:$Z$85)/(periods!$C$5-periods!$B$5+1)</f>
        <v>115079.46086708</v>
      </c>
      <c r="G13" s="7" t="n">
        <f aca="false">SUMPRODUCT((region_annual_ha!$A$2:$A$85=$A13)*(region_annual_ha!$B$2:$B$85="live")*(region_annual_ha!$D$1:$Z$1&gt;=periods!$B$2)*(region_annual_ha!$D$1:$Z$1&lt;=periods!$C$2)*region_annual_ha!$D$2:$Z$85)/(periods!$C$2-periods!$B$2+1)</f>
        <v>9553.52664536039</v>
      </c>
      <c r="H13" s="7" t="n">
        <f aca="false">SUMPRODUCT((region_annual_ha!$A$2:$A$85=$A13)*(region_annual_ha!$B$2:$B$85="live")*(region_annual_ha!$D$1:$Z$1&gt;=periods!$B$3)*(region_annual_ha!$D$1:$Z$1&lt;=periods!$C$3)*region_annual_ha!$D$2:$Z$85)/(periods!$C$3-periods!$B$3+1)</f>
        <v>40449.5626119791</v>
      </c>
      <c r="I13" s="7" t="n">
        <f aca="false">SUMPRODUCT((region_annual_ha!$A$2:$A$85=$A13)*(region_annual_ha!$B$2:$B$85="live")*(region_annual_ha!$D$1:$Z$1&gt;=periods!$B$4)*(region_annual_ha!$D$1:$Z$1&lt;=periods!$C$4)*region_annual_ha!$D$2:$Z$85)/(periods!$C$4-periods!$B$4+1)</f>
        <v>70922.3246282371</v>
      </c>
      <c r="J13" s="7" t="n">
        <f aca="false">SUMPRODUCT((region_annual_ha!$A$2:$A$85=$A13)*(region_annual_ha!$B$2:$B$85="live")*(region_annual_ha!$D$1:$Z$1&gt;=periods!$B$5)*(region_annual_ha!$D$1:$Z$1&lt;=periods!$C$5)*region_annual_ha!$D$2:$Z$85)/(periods!$C$5-periods!$B$5+1)</f>
        <v>2256.85250284936</v>
      </c>
      <c r="K13" s="7" t="n">
        <f aca="false">SUMPRODUCT((region_annual_ha!$A$2:$A$85=$A13)*(region_annual_ha!$B$2:$B$85="fors")*(region_annual_ha!$D$1:$Z$1&gt;=periods!$B$2)*(region_annual_ha!$D$1:$Z$1&lt;=periods!$C$2)*region_annual_ha!$D$2:$Z$85)/(periods!$C$2-periods!$B$2+1)</f>
        <v>7637.15354522391</v>
      </c>
      <c r="L13" s="7" t="n">
        <f aca="false">SUMPRODUCT((region_annual_ha!$A$2:$A$85=$A13)*(region_annual_ha!$B$2:$B$85="fors")*(region_annual_ha!$D$1:$Z$1&gt;=periods!$B$3)*(region_annual_ha!$D$1:$Z$1&lt;=periods!$C$3)*region_annual_ha!$D$2:$Z$85)/(periods!$C$3-periods!$B$3+1)</f>
        <v>10193.1164107913</v>
      </c>
      <c r="M13" s="7" t="n">
        <f aca="false">SUMPRODUCT((region_annual_ha!$A$2:$A$85=$A13)*(region_annual_ha!$B$2:$B$85="fors")*(region_annual_ha!$D$1:$Z$1&gt;=periods!$B$4)*(region_annual_ha!$D$1:$Z$1&lt;=periods!$C$4)*region_annual_ha!$D$2:$Z$85)/(periods!$C$4-periods!$B$4+1)</f>
        <v>9940.04939365546</v>
      </c>
      <c r="N13" s="7" t="n">
        <f aca="false">SUMPRODUCT((region_annual_ha!$A$2:$A$85=$A13)*(region_annual_ha!$B$2:$B$85="fors")*(region_annual_ha!$D$1:$Z$1&gt;=periods!$B$5)*(region_annual_ha!$D$1:$Z$1&lt;=periods!$C$5)*region_annual_ha!$D$2:$Z$85)/(periods!$C$5-periods!$B$5+1)</f>
        <v>8559.50200004398</v>
      </c>
      <c r="O13" s="7" t="n">
        <f aca="false">C13+G13+K13</f>
        <v>50137.6509191217</v>
      </c>
      <c r="P13" s="7" t="n">
        <f aca="false">D13+H13+L13</f>
        <v>91292.9824732632</v>
      </c>
      <c r="Q13" s="7" t="n">
        <f aca="false">E13+I13+M13</f>
        <v>138220.698938407</v>
      </c>
      <c r="R13" s="7" t="n">
        <f aca="false">F13+J13+N13</f>
        <v>125895.815369973</v>
      </c>
    </row>
    <row r="14" customFormat="false" ht="15" hidden="false" customHeight="false" outlineLevel="0" collapsed="false">
      <c r="A14" s="4" t="s">
        <v>53</v>
      </c>
      <c r="B14" s="4" t="s">
        <v>54</v>
      </c>
      <c r="C14" s="7" t="n">
        <f aca="false">SUMPRODUCT((region_annual_ha!$A$2:$A$85=$A14)*(region_annual_ha!$B$2:$B$85="crop")*(region_annual_ha!$D$1:$Z$1&gt;=periods!$B$2)*(region_annual_ha!$D$1:$Z$1&lt;=periods!$C$2)*region_annual_ha!$D$2:$Z$85)/(periods!$C$2-periods!$B$2+1)</f>
        <v>220424.47206894</v>
      </c>
      <c r="D14" s="7" t="n">
        <f aca="false">SUMPRODUCT((region_annual_ha!$A$2:$A$85=$A14)*(region_annual_ha!$B$2:$B$85="crop")*(region_annual_ha!$D$1:$Z$1&gt;=periods!$B$3)*(region_annual_ha!$D$1:$Z$1&lt;=periods!$C$3)*region_annual_ha!$D$2:$Z$85)/(periods!$C$3-periods!$B$3+1)</f>
        <v>227997.749880459</v>
      </c>
      <c r="E14" s="7" t="n">
        <f aca="false">SUMPRODUCT((region_annual_ha!$A$2:$A$85=$A14)*(region_annual_ha!$B$2:$B$85="crop")*(region_annual_ha!$D$1:$Z$1&gt;=periods!$B$4)*(region_annual_ha!$D$1:$Z$1&lt;=periods!$C$4)*region_annual_ha!$D$2:$Z$85)/(periods!$C$4-periods!$B$4+1)</f>
        <v>168835.601575034</v>
      </c>
      <c r="F14" s="7" t="n">
        <f aca="false">SUMPRODUCT((region_annual_ha!$A$2:$A$85=$A14)*(region_annual_ha!$B$2:$B$85="crop")*(region_annual_ha!$D$1:$Z$1&gt;=periods!$B$5)*(region_annual_ha!$D$1:$Z$1&lt;=periods!$C$5)*region_annual_ha!$D$2:$Z$85)/(periods!$C$5-periods!$B$5+1)</f>
        <v>139104.719175604</v>
      </c>
      <c r="G14" s="7" t="n">
        <f aca="false">SUMPRODUCT((region_annual_ha!$A$2:$A$85=$A14)*(region_annual_ha!$B$2:$B$85="live")*(region_annual_ha!$D$1:$Z$1&gt;=periods!$B$2)*(region_annual_ha!$D$1:$Z$1&lt;=periods!$C$2)*region_annual_ha!$D$2:$Z$85)/(periods!$C$2-periods!$B$2+1)</f>
        <v>1187228.24545433</v>
      </c>
      <c r="H14" s="7" t="n">
        <f aca="false">SUMPRODUCT((region_annual_ha!$A$2:$A$85=$A14)*(region_annual_ha!$B$2:$B$85="live")*(region_annual_ha!$D$1:$Z$1&gt;=periods!$B$3)*(region_annual_ha!$D$1:$Z$1&lt;=periods!$C$3)*region_annual_ha!$D$2:$Z$85)/(periods!$C$3-periods!$B$3+1)</f>
        <v>1023102.06581961</v>
      </c>
      <c r="I14" s="7" t="n">
        <f aca="false">SUMPRODUCT((region_annual_ha!$A$2:$A$85=$A14)*(region_annual_ha!$B$2:$B$85="live")*(region_annual_ha!$D$1:$Z$1&gt;=periods!$B$4)*(region_annual_ha!$D$1:$Z$1&lt;=periods!$C$4)*region_annual_ha!$D$2:$Z$85)/(periods!$C$4-periods!$B$4+1)</f>
        <v>1463738.48378524</v>
      </c>
      <c r="J14" s="7" t="n">
        <f aca="false">SUMPRODUCT((region_annual_ha!$A$2:$A$85=$A14)*(region_annual_ha!$B$2:$B$85="live")*(region_annual_ha!$D$1:$Z$1&gt;=periods!$B$5)*(region_annual_ha!$D$1:$Z$1&lt;=periods!$C$5)*region_annual_ha!$D$2:$Z$85)/(periods!$C$5-periods!$B$5+1)</f>
        <v>1470065.73254696</v>
      </c>
      <c r="K14" s="7" t="n">
        <f aca="false">SUMPRODUCT((region_annual_ha!$A$2:$A$85=$A14)*(region_annual_ha!$B$2:$B$85="fors")*(region_annual_ha!$D$1:$Z$1&gt;=periods!$B$2)*(region_annual_ha!$D$1:$Z$1&lt;=periods!$C$2)*region_annual_ha!$D$2:$Z$85)/(periods!$C$2-periods!$B$2+1)</f>
        <v>12505.070294797</v>
      </c>
      <c r="L14" s="7" t="n">
        <f aca="false">SUMPRODUCT((region_annual_ha!$A$2:$A$85=$A14)*(region_annual_ha!$B$2:$B$85="fors")*(region_annual_ha!$D$1:$Z$1&gt;=periods!$B$3)*(region_annual_ha!$D$1:$Z$1&lt;=periods!$C$3)*region_annual_ha!$D$2:$Z$85)/(periods!$C$3-periods!$B$3+1)</f>
        <v>31881.6297212055</v>
      </c>
      <c r="M14" s="7" t="n">
        <f aca="false">SUMPRODUCT((region_annual_ha!$A$2:$A$85=$A14)*(region_annual_ha!$B$2:$B$85="fors")*(region_annual_ha!$D$1:$Z$1&gt;=periods!$B$4)*(region_annual_ha!$D$1:$Z$1&lt;=periods!$C$4)*region_annual_ha!$D$2:$Z$85)/(periods!$C$4-periods!$B$4+1)</f>
        <v>47954.495525619</v>
      </c>
      <c r="N14" s="7" t="n">
        <f aca="false">SUMPRODUCT((region_annual_ha!$A$2:$A$85=$A14)*(region_annual_ha!$B$2:$B$85="fors")*(region_annual_ha!$D$1:$Z$1&gt;=periods!$B$5)*(region_annual_ha!$D$1:$Z$1&lt;=periods!$C$5)*region_annual_ha!$D$2:$Z$85)/(periods!$C$5-periods!$B$5+1)</f>
        <v>45170.0197622043</v>
      </c>
      <c r="O14" s="7" t="n">
        <f aca="false">C14+G14+K14</f>
        <v>1420157.78781807</v>
      </c>
      <c r="P14" s="7" t="n">
        <f aca="false">D14+H14+L14</f>
        <v>1282981.44542128</v>
      </c>
      <c r="Q14" s="7" t="n">
        <f aca="false">E14+I14+M14</f>
        <v>1680528.58088589</v>
      </c>
      <c r="R14" s="7" t="n">
        <f aca="false">F14+J14+N14</f>
        <v>1654340.47148477</v>
      </c>
    </row>
    <row r="15" customFormat="false" ht="15" hidden="false" customHeight="false" outlineLevel="0" collapsed="false">
      <c r="A15" s="4" t="s">
        <v>55</v>
      </c>
      <c r="B15" s="4" t="s">
        <v>56</v>
      </c>
      <c r="C15" s="7" t="n">
        <f aca="false">SUMPRODUCT((region_annual_ha!$A$2:$A$85=$A15)*(region_annual_ha!$B$2:$B$85="crop")*(region_annual_ha!$D$1:$Z$1&gt;=periods!$B$2)*(region_annual_ha!$D$1:$Z$1&lt;=periods!$C$2)*region_annual_ha!$D$2:$Z$85)/(periods!$C$2-periods!$B$2+1)</f>
        <v>439.061059122039</v>
      </c>
      <c r="D15" s="7" t="n">
        <f aca="false">SUMPRODUCT((region_annual_ha!$A$2:$A$85=$A15)*(region_annual_ha!$B$2:$B$85="crop")*(region_annual_ha!$D$1:$Z$1&gt;=periods!$B$3)*(region_annual_ha!$D$1:$Z$1&lt;=periods!$C$3)*region_annual_ha!$D$2:$Z$85)/(periods!$C$3-periods!$B$3+1)</f>
        <v>624.533794301887</v>
      </c>
      <c r="E15" s="7" t="n">
        <f aca="false">SUMPRODUCT((region_annual_ha!$A$2:$A$85=$A15)*(region_annual_ha!$B$2:$B$85="crop")*(region_annual_ha!$D$1:$Z$1&gt;=periods!$B$4)*(region_annual_ha!$D$1:$Z$1&lt;=periods!$C$4)*region_annual_ha!$D$2:$Z$85)/(periods!$C$4-periods!$B$4+1)</f>
        <v>404.734356727774</v>
      </c>
      <c r="F15" s="7" t="n">
        <f aca="false">SUMPRODUCT((region_annual_ha!$A$2:$A$85=$A15)*(region_annual_ha!$B$2:$B$85="crop")*(region_annual_ha!$D$1:$Z$1&gt;=periods!$B$5)*(region_annual_ha!$D$1:$Z$1&lt;=periods!$C$5)*region_annual_ha!$D$2:$Z$85)/(periods!$C$5-periods!$B$5+1)</f>
        <v>25.3322691669945</v>
      </c>
      <c r="G15" s="7" t="n">
        <f aca="false">SUMPRODUCT((region_annual_ha!$A$2:$A$85=$A15)*(region_annual_ha!$B$2:$B$85="live")*(region_annual_ha!$D$1:$Z$1&gt;=periods!$B$2)*(region_annual_ha!$D$1:$Z$1&lt;=periods!$C$2)*region_annual_ha!$D$2:$Z$85)/(periods!$C$2-periods!$B$2+1)</f>
        <v>57.7708678108784</v>
      </c>
      <c r="H15" s="7" t="n">
        <f aca="false">SUMPRODUCT((region_annual_ha!$A$2:$A$85=$A15)*(region_annual_ha!$B$2:$B$85="live")*(region_annual_ha!$D$1:$Z$1&gt;=periods!$B$3)*(region_annual_ha!$D$1:$Z$1&lt;=periods!$C$3)*region_annual_ha!$D$2:$Z$85)/(periods!$C$3-periods!$B$3+1)</f>
        <v>30.5196890112081</v>
      </c>
      <c r="I15" s="7" t="n">
        <f aca="false">SUMPRODUCT((region_annual_ha!$A$2:$A$85=$A15)*(region_annual_ha!$B$2:$B$85="live")*(region_annual_ha!$D$1:$Z$1&gt;=periods!$B$4)*(region_annual_ha!$D$1:$Z$1&lt;=periods!$C$4)*region_annual_ha!$D$2:$Z$85)/(periods!$C$4-periods!$B$4+1)</f>
        <v>17.5997652814185</v>
      </c>
      <c r="J15" s="7" t="n">
        <f aca="false">SUMPRODUCT((region_annual_ha!$A$2:$A$85=$A15)*(region_annual_ha!$B$2:$B$85="live")*(region_annual_ha!$D$1:$Z$1&gt;=periods!$B$5)*(region_annual_ha!$D$1:$Z$1&lt;=periods!$C$5)*region_annual_ha!$D$2:$Z$85)/(periods!$C$5-periods!$B$5+1)</f>
        <v>7.6622528740896</v>
      </c>
      <c r="K15" s="7" t="n">
        <f aca="false">SUMPRODUCT((region_annual_ha!$A$2:$A$85=$A15)*(region_annual_ha!$B$2:$B$85="fors")*(region_annual_ha!$D$1:$Z$1&gt;=periods!$B$2)*(region_annual_ha!$D$1:$Z$1&lt;=periods!$C$2)*region_annual_ha!$D$2:$Z$85)/(periods!$C$2-periods!$B$2+1)</f>
        <v>9.25782961128022</v>
      </c>
      <c r="L15" s="7" t="n">
        <f aca="false">SUMPRODUCT((region_annual_ha!$A$2:$A$85=$A15)*(region_annual_ha!$B$2:$B$85="fors")*(region_annual_ha!$D$1:$Z$1&gt;=periods!$B$3)*(region_annual_ha!$D$1:$Z$1&lt;=periods!$C$3)*region_annual_ha!$D$2:$Z$85)/(periods!$C$3-periods!$B$3+1)</f>
        <v>12.1059849476565</v>
      </c>
      <c r="M15" s="7" t="n">
        <f aca="false">SUMPRODUCT((region_annual_ha!$A$2:$A$85=$A15)*(region_annual_ha!$B$2:$B$85="fors")*(region_annual_ha!$D$1:$Z$1&gt;=periods!$B$4)*(region_annual_ha!$D$1:$Z$1&lt;=periods!$C$4)*region_annual_ha!$D$2:$Z$85)/(periods!$C$4-periods!$B$4+1)</f>
        <v>3.17891999047272</v>
      </c>
      <c r="N15" s="7" t="n">
        <f aca="false">SUMPRODUCT((region_annual_ha!$A$2:$A$85=$A15)*(region_annual_ha!$B$2:$B$85="fors")*(region_annual_ha!$D$1:$Z$1&gt;=periods!$B$5)*(region_annual_ha!$D$1:$Z$1&lt;=periods!$C$5)*region_annual_ha!$D$2:$Z$85)/(periods!$C$5-periods!$B$5+1)</f>
        <v>0.842724262315636</v>
      </c>
      <c r="O15" s="7" t="n">
        <f aca="false">C15+G15+K15</f>
        <v>506.089756544197</v>
      </c>
      <c r="P15" s="7" t="n">
        <f aca="false">D15+H15+L15</f>
        <v>667.159468260752</v>
      </c>
      <c r="Q15" s="7" t="n">
        <f aca="false">E15+I15+M15</f>
        <v>425.513041999665</v>
      </c>
      <c r="R15" s="7" t="n">
        <f aca="false">F15+J15+N15</f>
        <v>33.8372463033998</v>
      </c>
    </row>
    <row r="16" customFormat="false" ht="15" hidden="false" customHeight="false" outlineLevel="0" collapsed="false">
      <c r="A16" s="4" t="s">
        <v>57</v>
      </c>
      <c r="B16" s="4" t="s">
        <v>58</v>
      </c>
      <c r="C16" s="7" t="n">
        <f aca="false">SUMPRODUCT((region_annual_ha!$A$2:$A$85=$A16)*(region_annual_ha!$B$2:$B$85="crop")*(region_annual_ha!$D$1:$Z$1&gt;=periods!$B$2)*(region_annual_ha!$D$1:$Z$1&lt;=periods!$C$2)*region_annual_ha!$D$2:$Z$85)/(periods!$C$2-periods!$B$2+1)</f>
        <v>29399.5656672702</v>
      </c>
      <c r="D16" s="7" t="n">
        <f aca="false">SUMPRODUCT((region_annual_ha!$A$2:$A$85=$A16)*(region_annual_ha!$B$2:$B$85="crop")*(region_annual_ha!$D$1:$Z$1&gt;=periods!$B$3)*(region_annual_ha!$D$1:$Z$1&lt;=periods!$C$3)*region_annual_ha!$D$2:$Z$85)/(periods!$C$3-periods!$B$3+1)</f>
        <v>34389.7153975208</v>
      </c>
      <c r="E16" s="7" t="n">
        <f aca="false">SUMPRODUCT((region_annual_ha!$A$2:$A$85=$A16)*(region_annual_ha!$B$2:$B$85="crop")*(region_annual_ha!$D$1:$Z$1&gt;=periods!$B$4)*(region_annual_ha!$D$1:$Z$1&lt;=periods!$C$4)*region_annual_ha!$D$2:$Z$85)/(periods!$C$4-periods!$B$4+1)</f>
        <v>39154.2812265428</v>
      </c>
      <c r="F16" s="7" t="n">
        <f aca="false">SUMPRODUCT((region_annual_ha!$A$2:$A$85=$A16)*(region_annual_ha!$B$2:$B$85="crop")*(region_annual_ha!$D$1:$Z$1&gt;=periods!$B$5)*(region_annual_ha!$D$1:$Z$1&lt;=periods!$C$5)*region_annual_ha!$D$2:$Z$85)/(periods!$C$5-periods!$B$5+1)</f>
        <v>35434.0128921528</v>
      </c>
      <c r="G16" s="7" t="n">
        <f aca="false">SUMPRODUCT((region_annual_ha!$A$2:$A$85=$A16)*(region_annual_ha!$B$2:$B$85="live")*(region_annual_ha!$D$1:$Z$1&gt;=periods!$B$2)*(region_annual_ha!$D$1:$Z$1&lt;=periods!$C$2)*region_annual_ha!$D$2:$Z$85)/(periods!$C$2-periods!$B$2+1)</f>
        <v>8461.58618070734</v>
      </c>
      <c r="H16" s="7" t="n">
        <f aca="false">SUMPRODUCT((region_annual_ha!$A$2:$A$85=$A16)*(region_annual_ha!$B$2:$B$85="live")*(region_annual_ha!$D$1:$Z$1&gt;=periods!$B$3)*(region_annual_ha!$D$1:$Z$1&lt;=periods!$C$3)*region_annual_ha!$D$2:$Z$85)/(periods!$C$3-periods!$B$3+1)</f>
        <v>34213.9254476618</v>
      </c>
      <c r="I16" s="7" t="n">
        <f aca="false">SUMPRODUCT((region_annual_ha!$A$2:$A$85=$A16)*(region_annual_ha!$B$2:$B$85="live")*(region_annual_ha!$D$1:$Z$1&gt;=periods!$B$4)*(region_annual_ha!$D$1:$Z$1&lt;=periods!$C$4)*region_annual_ha!$D$2:$Z$85)/(periods!$C$4-periods!$B$4+1)</f>
        <v>13113.7247436139</v>
      </c>
      <c r="J16" s="7" t="n">
        <f aca="false">SUMPRODUCT((region_annual_ha!$A$2:$A$85=$A16)*(region_annual_ha!$B$2:$B$85="live")*(region_annual_ha!$D$1:$Z$1&gt;=periods!$B$5)*(region_annual_ha!$D$1:$Z$1&lt;=periods!$C$5)*region_annual_ha!$D$2:$Z$85)/(periods!$C$5-periods!$B$5+1)</f>
        <v>3772.70552468328</v>
      </c>
      <c r="K16" s="7" t="n">
        <f aca="false">SUMPRODUCT((region_annual_ha!$A$2:$A$85=$A16)*(region_annual_ha!$B$2:$B$85="fors")*(region_annual_ha!$D$1:$Z$1&gt;=periods!$B$2)*(region_annual_ha!$D$1:$Z$1&lt;=periods!$C$2)*region_annual_ha!$D$2:$Z$85)/(periods!$C$2-periods!$B$2+1)</f>
        <v>1059.386391619</v>
      </c>
      <c r="L16" s="7" t="n">
        <f aca="false">SUMPRODUCT((region_annual_ha!$A$2:$A$85=$A16)*(region_annual_ha!$B$2:$B$85="fors")*(region_annual_ha!$D$1:$Z$1&gt;=periods!$B$3)*(region_annual_ha!$D$1:$Z$1&lt;=periods!$C$3)*region_annual_ha!$D$2:$Z$85)/(periods!$C$3-periods!$B$3+1)</f>
        <v>2470.36591077942</v>
      </c>
      <c r="M16" s="7" t="n">
        <f aca="false">SUMPRODUCT((region_annual_ha!$A$2:$A$85=$A16)*(region_annual_ha!$B$2:$B$85="fors")*(region_annual_ha!$D$1:$Z$1&gt;=periods!$B$4)*(region_annual_ha!$D$1:$Z$1&lt;=periods!$C$4)*region_annual_ha!$D$2:$Z$85)/(periods!$C$4-periods!$B$4+1)</f>
        <v>1305.75494783944</v>
      </c>
      <c r="N16" s="7" t="n">
        <f aca="false">SUMPRODUCT((region_annual_ha!$A$2:$A$85=$A16)*(region_annual_ha!$B$2:$B$85="fors")*(region_annual_ha!$D$1:$Z$1&gt;=periods!$B$5)*(region_annual_ha!$D$1:$Z$1&lt;=periods!$C$5)*region_annual_ha!$D$2:$Z$85)/(periods!$C$5-periods!$B$5+1)</f>
        <v>958.567590836638</v>
      </c>
      <c r="O16" s="7" t="n">
        <f aca="false">C16+G16+K16</f>
        <v>38920.5382395965</v>
      </c>
      <c r="P16" s="7" t="n">
        <f aca="false">D16+H16+L16</f>
        <v>71074.006755962</v>
      </c>
      <c r="Q16" s="7" t="n">
        <f aca="false">E16+I16+M16</f>
        <v>53573.7609179962</v>
      </c>
      <c r="R16" s="7" t="n">
        <f aca="false">F16+J16+N16</f>
        <v>40165.2860076727</v>
      </c>
    </row>
    <row r="17" customFormat="false" ht="15" hidden="false" customHeight="false" outlineLevel="0" collapsed="false">
      <c r="A17" s="4" t="s">
        <v>59</v>
      </c>
      <c r="B17" s="4" t="s">
        <v>60</v>
      </c>
      <c r="C17" s="7" t="n">
        <f aca="false">SUMPRODUCT((region_annual_ha!$A$2:$A$85=$A17)*(region_annual_ha!$B$2:$B$85="crop")*(region_annual_ha!$D$1:$Z$1&gt;=periods!$B$2)*(region_annual_ha!$D$1:$Z$1&lt;=periods!$C$2)*region_annual_ha!$D$2:$Z$85)/(periods!$C$2-periods!$B$2+1)</f>
        <v>2451.50579395907</v>
      </c>
      <c r="D17" s="7" t="n">
        <f aca="false">SUMPRODUCT((region_annual_ha!$A$2:$A$85=$A17)*(region_annual_ha!$B$2:$B$85="crop")*(region_annual_ha!$D$1:$Z$1&gt;=periods!$B$3)*(region_annual_ha!$D$1:$Z$1&lt;=periods!$C$3)*region_annual_ha!$D$2:$Z$85)/(periods!$C$3-periods!$B$3+1)</f>
        <v>4110.93406383899</v>
      </c>
      <c r="E17" s="7" t="n">
        <f aca="false">SUMPRODUCT((region_annual_ha!$A$2:$A$85=$A17)*(region_annual_ha!$B$2:$B$85="crop")*(region_annual_ha!$D$1:$Z$1&gt;=periods!$B$4)*(region_annual_ha!$D$1:$Z$1&lt;=periods!$C$4)*region_annual_ha!$D$2:$Z$85)/(periods!$C$4-periods!$B$4+1)</f>
        <v>10431.2956298734</v>
      </c>
      <c r="F17" s="7" t="n">
        <f aca="false">SUMPRODUCT((region_annual_ha!$A$2:$A$85=$A17)*(region_annual_ha!$B$2:$B$85="crop")*(region_annual_ha!$D$1:$Z$1&gt;=periods!$B$5)*(region_annual_ha!$D$1:$Z$1&lt;=periods!$C$5)*region_annual_ha!$D$2:$Z$85)/(periods!$C$5-periods!$B$5+1)</f>
        <v>2618.51585497344</v>
      </c>
      <c r="G17" s="7" t="n">
        <f aca="false">SUMPRODUCT((region_annual_ha!$A$2:$A$85=$A17)*(region_annual_ha!$B$2:$B$85="live")*(region_annual_ha!$D$1:$Z$1&gt;=periods!$B$2)*(region_annual_ha!$D$1:$Z$1&lt;=periods!$C$2)*region_annual_ha!$D$2:$Z$85)/(periods!$C$2-periods!$B$2+1)</f>
        <v>8758.97505958103</v>
      </c>
      <c r="H17" s="7" t="n">
        <f aca="false">SUMPRODUCT((region_annual_ha!$A$2:$A$85=$A17)*(region_annual_ha!$B$2:$B$85="live")*(region_annual_ha!$D$1:$Z$1&gt;=periods!$B$3)*(region_annual_ha!$D$1:$Z$1&lt;=periods!$C$3)*region_annual_ha!$D$2:$Z$85)/(periods!$C$3-periods!$B$3+1)</f>
        <v>4235.72033363757</v>
      </c>
      <c r="I17" s="7" t="n">
        <f aca="false">SUMPRODUCT((region_annual_ha!$A$2:$A$85=$A17)*(region_annual_ha!$B$2:$B$85="live")*(region_annual_ha!$D$1:$Z$1&gt;=periods!$B$4)*(region_annual_ha!$D$1:$Z$1&lt;=periods!$C$4)*region_annual_ha!$D$2:$Z$85)/(periods!$C$4-periods!$B$4+1)</f>
        <v>3757.37084179449</v>
      </c>
      <c r="J17" s="7" t="n">
        <f aca="false">SUMPRODUCT((region_annual_ha!$A$2:$A$85=$A17)*(region_annual_ha!$B$2:$B$85="live")*(region_annual_ha!$D$1:$Z$1&gt;=periods!$B$5)*(region_annual_ha!$D$1:$Z$1&lt;=periods!$C$5)*region_annual_ha!$D$2:$Z$85)/(periods!$C$5-periods!$B$5+1)</f>
        <v>2005.46300736273</v>
      </c>
      <c r="K17" s="7" t="n">
        <f aca="false">SUMPRODUCT((region_annual_ha!$A$2:$A$85=$A17)*(region_annual_ha!$B$2:$B$85="fors")*(region_annual_ha!$D$1:$Z$1&gt;=periods!$B$2)*(region_annual_ha!$D$1:$Z$1&lt;=periods!$C$2)*region_annual_ha!$D$2:$Z$85)/(periods!$C$2-periods!$B$2+1)</f>
        <v>0</v>
      </c>
      <c r="L17" s="7" t="n">
        <f aca="false">SUMPRODUCT((region_annual_ha!$A$2:$A$85=$A17)*(region_annual_ha!$B$2:$B$85="fors")*(region_annual_ha!$D$1:$Z$1&gt;=periods!$B$3)*(region_annual_ha!$D$1:$Z$1&lt;=periods!$C$3)*region_annual_ha!$D$2:$Z$85)/(periods!$C$3-periods!$B$3+1)</f>
        <v>0</v>
      </c>
      <c r="M17" s="7" t="n">
        <f aca="false">SUMPRODUCT((region_annual_ha!$A$2:$A$85=$A17)*(region_annual_ha!$B$2:$B$85="fors")*(region_annual_ha!$D$1:$Z$1&gt;=periods!$B$4)*(region_annual_ha!$D$1:$Z$1&lt;=periods!$C$4)*region_annual_ha!$D$2:$Z$85)/(periods!$C$4-periods!$B$4+1)</f>
        <v>0</v>
      </c>
      <c r="N17" s="7" t="n">
        <f aca="false">SUMPRODUCT((region_annual_ha!$A$2:$A$85=$A17)*(region_annual_ha!$B$2:$B$85="fors")*(region_annual_ha!$D$1:$Z$1&gt;=periods!$B$5)*(region_annual_ha!$D$1:$Z$1&lt;=periods!$C$5)*region_annual_ha!$D$2:$Z$85)/(periods!$C$5-periods!$B$5+1)</f>
        <v>0</v>
      </c>
      <c r="O17" s="7" t="n">
        <f aca="false">C17+G17+K17</f>
        <v>11210.4808535401</v>
      </c>
      <c r="P17" s="7" t="n">
        <f aca="false">D17+H17+L17</f>
        <v>8346.65439747656</v>
      </c>
      <c r="Q17" s="7" t="n">
        <f aca="false">E17+I17+M17</f>
        <v>14188.6664716679</v>
      </c>
      <c r="R17" s="7" t="n">
        <f aca="false">F17+J17+N17</f>
        <v>4623.97886233618</v>
      </c>
    </row>
    <row r="18" customFormat="false" ht="15" hidden="false" customHeight="false" outlineLevel="0" collapsed="false">
      <c r="A18" s="4" t="s">
        <v>61</v>
      </c>
      <c r="B18" s="4" t="s">
        <v>62</v>
      </c>
      <c r="C18" s="7" t="n">
        <f aca="false">SUMPRODUCT((region_annual_ha!$A$2:$A$85=$A18)*(region_annual_ha!$B$2:$B$85="crop")*(region_annual_ha!$D$1:$Z$1&gt;=periods!$B$2)*(region_annual_ha!$D$1:$Z$1&lt;=periods!$C$2)*region_annual_ha!$D$2:$Z$85)/(periods!$C$2-periods!$B$2+1)</f>
        <v>153284.104684435</v>
      </c>
      <c r="D18" s="7" t="n">
        <f aca="false">SUMPRODUCT((region_annual_ha!$A$2:$A$85=$A18)*(region_annual_ha!$B$2:$B$85="crop")*(region_annual_ha!$D$1:$Z$1&gt;=periods!$B$3)*(region_annual_ha!$D$1:$Z$1&lt;=periods!$C$3)*region_annual_ha!$D$2:$Z$85)/(periods!$C$3-periods!$B$3+1)</f>
        <v>130997.788800353</v>
      </c>
      <c r="E18" s="7" t="n">
        <f aca="false">SUMPRODUCT((region_annual_ha!$A$2:$A$85=$A18)*(region_annual_ha!$B$2:$B$85="crop")*(region_annual_ha!$D$1:$Z$1&gt;=periods!$B$4)*(region_annual_ha!$D$1:$Z$1&lt;=periods!$C$4)*region_annual_ha!$D$2:$Z$85)/(periods!$C$4-periods!$B$4+1)</f>
        <v>99175.8678602087</v>
      </c>
      <c r="F18" s="7" t="n">
        <f aca="false">SUMPRODUCT((region_annual_ha!$A$2:$A$85=$A18)*(region_annual_ha!$B$2:$B$85="crop")*(region_annual_ha!$D$1:$Z$1&gt;=periods!$B$5)*(region_annual_ha!$D$1:$Z$1&lt;=periods!$C$5)*region_annual_ha!$D$2:$Z$85)/(periods!$C$5-periods!$B$5+1)</f>
        <v>71176.3612989793</v>
      </c>
      <c r="G18" s="7" t="n">
        <f aca="false">SUMPRODUCT((region_annual_ha!$A$2:$A$85=$A18)*(region_annual_ha!$B$2:$B$85="live")*(region_annual_ha!$D$1:$Z$1&gt;=periods!$B$2)*(region_annual_ha!$D$1:$Z$1&lt;=periods!$C$2)*region_annual_ha!$D$2:$Z$85)/(periods!$C$2-periods!$B$2+1)</f>
        <v>46448.915053823</v>
      </c>
      <c r="H18" s="7" t="n">
        <f aca="false">SUMPRODUCT((region_annual_ha!$A$2:$A$85=$A18)*(region_annual_ha!$B$2:$B$85="live")*(region_annual_ha!$D$1:$Z$1&gt;=periods!$B$3)*(region_annual_ha!$D$1:$Z$1&lt;=periods!$C$3)*region_annual_ha!$D$2:$Z$85)/(periods!$C$3-periods!$B$3+1)</f>
        <v>28839.7227558668</v>
      </c>
      <c r="I18" s="7" t="n">
        <f aca="false">SUMPRODUCT((region_annual_ha!$A$2:$A$85=$A18)*(region_annual_ha!$B$2:$B$85="live")*(region_annual_ha!$D$1:$Z$1&gt;=periods!$B$4)*(region_annual_ha!$D$1:$Z$1&lt;=periods!$C$4)*region_annual_ha!$D$2:$Z$85)/(periods!$C$4-periods!$B$4+1)</f>
        <v>52039.4518107664</v>
      </c>
      <c r="J18" s="7" t="n">
        <f aca="false">SUMPRODUCT((region_annual_ha!$A$2:$A$85=$A18)*(region_annual_ha!$B$2:$B$85="live")*(region_annual_ha!$D$1:$Z$1&gt;=periods!$B$5)*(region_annual_ha!$D$1:$Z$1&lt;=periods!$C$5)*region_annual_ha!$D$2:$Z$85)/(periods!$C$5-periods!$B$5+1)</f>
        <v>67692.6242160788</v>
      </c>
      <c r="K18" s="7" t="n">
        <f aca="false">SUMPRODUCT((region_annual_ha!$A$2:$A$85=$A18)*(region_annual_ha!$B$2:$B$85="fors")*(region_annual_ha!$D$1:$Z$1&gt;=periods!$B$2)*(region_annual_ha!$D$1:$Z$1&lt;=periods!$C$2)*region_annual_ha!$D$2:$Z$85)/(periods!$C$2-periods!$B$2+1)</f>
        <v>1252.97622043353</v>
      </c>
      <c r="L18" s="7" t="n">
        <f aca="false">SUMPRODUCT((region_annual_ha!$A$2:$A$85=$A18)*(region_annual_ha!$B$2:$B$85="fors")*(region_annual_ha!$D$1:$Z$1&gt;=periods!$B$3)*(region_annual_ha!$D$1:$Z$1&lt;=periods!$C$3)*region_annual_ha!$D$2:$Z$85)/(periods!$C$3-periods!$B$3+1)</f>
        <v>1260.2164679631</v>
      </c>
      <c r="M18" s="7" t="n">
        <f aca="false">SUMPRODUCT((region_annual_ha!$A$2:$A$85=$A18)*(region_annual_ha!$B$2:$B$85="fors")*(region_annual_ha!$D$1:$Z$1&gt;=periods!$B$4)*(region_annual_ha!$D$1:$Z$1&lt;=periods!$C$4)*region_annual_ha!$D$2:$Z$85)/(periods!$C$4-periods!$B$4+1)</f>
        <v>2410.61331664687</v>
      </c>
      <c r="N18" s="7" t="n">
        <f aca="false">SUMPRODUCT((region_annual_ha!$A$2:$A$85=$A18)*(region_annual_ha!$B$2:$B$85="fors")*(region_annual_ha!$D$1:$Z$1&gt;=periods!$B$5)*(region_annual_ha!$D$1:$Z$1&lt;=periods!$C$5)*region_annual_ha!$D$2:$Z$85)/(periods!$C$5-periods!$B$5+1)</f>
        <v>2778.53040565316</v>
      </c>
      <c r="O18" s="7" t="n">
        <f aca="false">C18+G18+K18</f>
        <v>200985.995958692</v>
      </c>
      <c r="P18" s="7" t="n">
        <f aca="false">D18+H18+L18</f>
        <v>161097.728024183</v>
      </c>
      <c r="Q18" s="7" t="n">
        <f aca="false">E18+I18+M18</f>
        <v>153625.932987622</v>
      </c>
      <c r="R18" s="7" t="n">
        <f aca="false">F18+J18+N18</f>
        <v>141647.515920711</v>
      </c>
    </row>
    <row r="19" customFormat="false" ht="15" hidden="false" customHeight="false" outlineLevel="0" collapsed="false">
      <c r="A19" s="4" t="s">
        <v>63</v>
      </c>
      <c r="B19" s="4" t="s">
        <v>64</v>
      </c>
      <c r="C19" s="7" t="n">
        <f aca="false">SUMPRODUCT((region_annual_ha!$A$2:$A$85=$A19)*(region_annual_ha!$B$2:$B$85="crop")*(region_annual_ha!$D$1:$Z$1&gt;=periods!$B$2)*(region_annual_ha!$D$1:$Z$1&lt;=periods!$C$2)*region_annual_ha!$D$2:$Z$85)/(periods!$C$2-periods!$B$2+1)</f>
        <v>15424.1883543403</v>
      </c>
      <c r="D19" s="7" t="n">
        <f aca="false">SUMPRODUCT((region_annual_ha!$A$2:$A$85=$A19)*(region_annual_ha!$B$2:$B$85="crop")*(region_annual_ha!$D$1:$Z$1&gt;=periods!$B$3)*(region_annual_ha!$D$1:$Z$1&lt;=periods!$C$3)*region_annual_ha!$D$2:$Z$85)/(periods!$C$3-periods!$B$3+1)</f>
        <v>26159.1875967551</v>
      </c>
      <c r="E19" s="7" t="n">
        <f aca="false">SUMPRODUCT((region_annual_ha!$A$2:$A$85=$A19)*(region_annual_ha!$B$2:$B$85="crop")*(region_annual_ha!$D$1:$Z$1&gt;=periods!$B$4)*(region_annual_ha!$D$1:$Z$1&lt;=periods!$C$4)*region_annual_ha!$D$2:$Z$85)/(periods!$C$4-periods!$B$4+1)</f>
        <v>21968.4959450234</v>
      </c>
      <c r="F19" s="7" t="n">
        <f aca="false">SUMPRODUCT((region_annual_ha!$A$2:$A$85=$A19)*(region_annual_ha!$B$2:$B$85="crop")*(region_annual_ha!$D$1:$Z$1&gt;=periods!$B$5)*(region_annual_ha!$D$1:$Z$1&lt;=periods!$C$5)*region_annual_ha!$D$2:$Z$85)/(periods!$C$5-periods!$B$5+1)</f>
        <v>19875.71437676</v>
      </c>
      <c r="G19" s="7" t="n">
        <f aca="false">SUMPRODUCT((region_annual_ha!$A$2:$A$85=$A19)*(region_annual_ha!$B$2:$B$85="live")*(region_annual_ha!$D$1:$Z$1&gt;=periods!$B$2)*(region_annual_ha!$D$1:$Z$1&lt;=periods!$C$2)*region_annual_ha!$D$2:$Z$85)/(periods!$C$2-periods!$B$2+1)</f>
        <v>2990.05997781018</v>
      </c>
      <c r="H19" s="7" t="n">
        <f aca="false">SUMPRODUCT((region_annual_ha!$A$2:$A$85=$A19)*(region_annual_ha!$B$2:$B$85="live")*(region_annual_ha!$D$1:$Z$1&gt;=periods!$B$3)*(region_annual_ha!$D$1:$Z$1&lt;=periods!$C$3)*region_annual_ha!$D$2:$Z$85)/(periods!$C$3-periods!$B$3+1)</f>
        <v>1302.74178553091</v>
      </c>
      <c r="I19" s="7" t="n">
        <f aca="false">SUMPRODUCT((region_annual_ha!$A$2:$A$85=$A19)*(region_annual_ha!$B$2:$B$85="live")*(region_annual_ha!$D$1:$Z$1&gt;=periods!$B$4)*(region_annual_ha!$D$1:$Z$1&lt;=periods!$C$4)*region_annual_ha!$D$2:$Z$85)/(periods!$C$4-periods!$B$4+1)</f>
        <v>4836.14620961386</v>
      </c>
      <c r="J19" s="7" t="n">
        <f aca="false">SUMPRODUCT((region_annual_ha!$A$2:$A$85=$A19)*(region_annual_ha!$B$2:$B$85="live")*(region_annual_ha!$D$1:$Z$1&gt;=periods!$B$5)*(region_annual_ha!$D$1:$Z$1&lt;=periods!$C$5)*region_annual_ha!$D$2:$Z$85)/(periods!$C$5-periods!$B$5+1)</f>
        <v>12007.596529662</v>
      </c>
      <c r="K19" s="7" t="n">
        <f aca="false">SUMPRODUCT((region_annual_ha!$A$2:$A$85=$A19)*(region_annual_ha!$B$2:$B$85="fors")*(region_annual_ha!$D$1:$Z$1&gt;=periods!$B$2)*(region_annual_ha!$D$1:$Z$1&lt;=periods!$C$2)*region_annual_ha!$D$2:$Z$85)/(periods!$C$2-periods!$B$2+1)</f>
        <v>138.837058696281</v>
      </c>
      <c r="L19" s="7" t="n">
        <f aca="false">SUMPRODUCT((region_annual_ha!$A$2:$A$85=$A19)*(region_annual_ha!$B$2:$B$85="fors")*(region_annual_ha!$D$1:$Z$1&gt;=periods!$B$3)*(region_annual_ha!$D$1:$Z$1&lt;=periods!$C$3)*region_annual_ha!$D$2:$Z$85)/(periods!$C$3-periods!$B$3+1)</f>
        <v>492.58762539718</v>
      </c>
      <c r="M19" s="7" t="n">
        <f aca="false">SUMPRODUCT((region_annual_ha!$A$2:$A$85=$A19)*(region_annual_ha!$B$2:$B$85="fors")*(region_annual_ha!$D$1:$Z$1&gt;=periods!$B$4)*(region_annual_ha!$D$1:$Z$1&lt;=periods!$C$4)*region_annual_ha!$D$2:$Z$85)/(periods!$C$4-periods!$B$4+1)</f>
        <v>556.450733434977</v>
      </c>
      <c r="N19" s="7" t="n">
        <f aca="false">SUMPRODUCT((region_annual_ha!$A$2:$A$85=$A19)*(region_annual_ha!$B$2:$B$85="fors")*(region_annual_ha!$D$1:$Z$1&gt;=periods!$B$5)*(region_annual_ha!$D$1:$Z$1&lt;=periods!$C$5)*region_annual_ha!$D$2:$Z$85)/(periods!$C$5-periods!$B$5+1)</f>
        <v>644.045165225254</v>
      </c>
      <c r="O19" s="7" t="n">
        <f aca="false">C19+G19+K19</f>
        <v>18553.0853908468</v>
      </c>
      <c r="P19" s="7" t="n">
        <f aca="false">D19+H19+L19</f>
        <v>27954.5170076832</v>
      </c>
      <c r="Q19" s="7" t="n">
        <f aca="false">E19+I19+M19</f>
        <v>27361.0928880722</v>
      </c>
      <c r="R19" s="7" t="n">
        <f aca="false">F19+J19+N19</f>
        <v>32527.3560716473</v>
      </c>
    </row>
    <row r="20" customFormat="false" ht="15" hidden="false" customHeight="false" outlineLevel="0" collapsed="false">
      <c r="A20" s="4" t="s">
        <v>65</v>
      </c>
      <c r="B20" s="4" t="s">
        <v>66</v>
      </c>
      <c r="C20" s="7" t="n">
        <f aca="false">SUMPRODUCT((region_annual_ha!$A$2:$A$85=$A20)*(region_annual_ha!$B$2:$B$85="crop")*(region_annual_ha!$D$1:$Z$1&gt;=periods!$B$2)*(region_annual_ha!$D$1:$Z$1&lt;=periods!$C$2)*region_annual_ha!$D$2:$Z$85)/(periods!$C$2-periods!$B$2+1)</f>
        <v>662092.773943316</v>
      </c>
      <c r="D20" s="7" t="n">
        <f aca="false">SUMPRODUCT((region_annual_ha!$A$2:$A$85=$A20)*(region_annual_ha!$B$2:$B$85="crop")*(region_annual_ha!$D$1:$Z$1&gt;=periods!$B$3)*(region_annual_ha!$D$1:$Z$1&lt;=periods!$C$3)*region_annual_ha!$D$2:$Z$85)/(periods!$C$3-periods!$B$3+1)</f>
        <v>489017.540072536</v>
      </c>
      <c r="E20" s="7" t="n">
        <f aca="false">SUMPRODUCT((region_annual_ha!$A$2:$A$85=$A20)*(region_annual_ha!$B$2:$B$85="crop")*(region_annual_ha!$D$1:$Z$1&gt;=periods!$B$4)*(region_annual_ha!$D$1:$Z$1&lt;=periods!$C$4)*region_annual_ha!$D$2:$Z$85)/(periods!$C$4-periods!$B$4+1)</f>
        <v>366177.690690323</v>
      </c>
      <c r="F20" s="7" t="n">
        <f aca="false">SUMPRODUCT((region_annual_ha!$A$2:$A$85=$A20)*(region_annual_ha!$B$2:$B$85="crop")*(region_annual_ha!$D$1:$Z$1&gt;=periods!$B$5)*(region_annual_ha!$D$1:$Z$1&lt;=periods!$C$5)*region_annual_ha!$D$2:$Z$85)/(periods!$C$5-periods!$B$5+1)</f>
        <v>556611.027510247</v>
      </c>
      <c r="G20" s="7" t="n">
        <f aca="false">SUMPRODUCT((region_annual_ha!$A$2:$A$85=$A20)*(region_annual_ha!$B$2:$B$85="live")*(region_annual_ha!$D$1:$Z$1&gt;=periods!$B$2)*(region_annual_ha!$D$1:$Z$1&lt;=periods!$C$2)*region_annual_ha!$D$2:$Z$85)/(periods!$C$2-periods!$B$2+1)</f>
        <v>10895.905356589</v>
      </c>
      <c r="H20" s="7" t="n">
        <f aca="false">SUMPRODUCT((region_annual_ha!$A$2:$A$85=$A20)*(region_annual_ha!$B$2:$B$85="live")*(region_annual_ha!$D$1:$Z$1&gt;=periods!$B$3)*(region_annual_ha!$D$1:$Z$1&lt;=periods!$C$3)*region_annual_ha!$D$2:$Z$85)/(periods!$C$3-periods!$B$3+1)</f>
        <v>23342.4418965039</v>
      </c>
      <c r="I20" s="7" t="n">
        <f aca="false">SUMPRODUCT((region_annual_ha!$A$2:$A$85=$A20)*(region_annual_ha!$B$2:$B$85="live")*(region_annual_ha!$D$1:$Z$1&gt;=periods!$B$4)*(region_annual_ha!$D$1:$Z$1&lt;=periods!$C$4)*region_annual_ha!$D$2:$Z$85)/(periods!$C$4-periods!$B$4+1)</f>
        <v>63849.9948756308</v>
      </c>
      <c r="J20" s="7" t="n">
        <f aca="false">SUMPRODUCT((region_annual_ha!$A$2:$A$85=$A20)*(region_annual_ha!$B$2:$B$85="live")*(region_annual_ha!$D$1:$Z$1&gt;=periods!$B$5)*(region_annual_ha!$D$1:$Z$1&lt;=periods!$C$5)*region_annual_ha!$D$2:$Z$85)/(periods!$C$5-periods!$B$5+1)</f>
        <v>66872.3301959603</v>
      </c>
      <c r="K20" s="7" t="n">
        <f aca="false">SUMPRODUCT((region_annual_ha!$A$2:$A$85=$A20)*(region_annual_ha!$B$2:$B$85="fors")*(region_annual_ha!$D$1:$Z$1&gt;=periods!$B$2)*(region_annual_ha!$D$1:$Z$1&lt;=periods!$C$2)*region_annual_ha!$D$2:$Z$85)/(periods!$C$2-periods!$B$2+1)</f>
        <v>56.2227375244141</v>
      </c>
      <c r="L20" s="7" t="n">
        <f aca="false">SUMPRODUCT((region_annual_ha!$A$2:$A$85=$A20)*(region_annual_ha!$B$2:$B$85="fors")*(region_annual_ha!$D$1:$Z$1&gt;=periods!$B$3)*(region_annual_ha!$D$1:$Z$1&lt;=periods!$C$3)*region_annual_ha!$D$2:$Z$85)/(periods!$C$3-periods!$B$3+1)</f>
        <v>103.934690450439</v>
      </c>
      <c r="M20" s="7" t="n">
        <f aca="false">SUMPRODUCT((region_annual_ha!$A$2:$A$85=$A20)*(region_annual_ha!$B$2:$B$85="fors")*(region_annual_ha!$D$1:$Z$1&gt;=periods!$B$4)*(region_annual_ha!$D$1:$Z$1&lt;=periods!$C$4)*region_annual_ha!$D$2:$Z$85)/(periods!$C$4-periods!$B$4+1)</f>
        <v>148.078031860352</v>
      </c>
      <c r="N20" s="7" t="n">
        <f aca="false">SUMPRODUCT((region_annual_ha!$A$2:$A$85=$A20)*(region_annual_ha!$B$2:$B$85="fors")*(region_annual_ha!$D$1:$Z$1&gt;=periods!$B$5)*(region_annual_ha!$D$1:$Z$1&lt;=periods!$C$5)*region_annual_ha!$D$2:$Z$85)/(periods!$C$5-periods!$B$5+1)</f>
        <v>117.449806697591</v>
      </c>
      <c r="O20" s="7" t="n">
        <f aca="false">C20+G20+K20</f>
        <v>673044.90203743</v>
      </c>
      <c r="P20" s="7" t="n">
        <f aca="false">D20+H20+L20</f>
        <v>512463.916659491</v>
      </c>
      <c r="Q20" s="7" t="n">
        <f aca="false">E20+I20+M20</f>
        <v>430175.763597815</v>
      </c>
      <c r="R20" s="7" t="n">
        <f aca="false">F20+J20+N20</f>
        <v>623600.807512904</v>
      </c>
    </row>
    <row r="21" customFormat="false" ht="15" hidden="false" customHeight="false" outlineLevel="0" collapsed="false">
      <c r="A21" s="4" t="s">
        <v>67</v>
      </c>
      <c r="B21" s="4" t="s">
        <v>68</v>
      </c>
      <c r="C21" s="7" t="n">
        <f aca="false">SUMPRODUCT((region_annual_ha!$A$2:$A$85=$A21)*(region_annual_ha!$B$2:$B$85="crop")*(region_annual_ha!$D$1:$Z$1&gt;=periods!$B$2)*(region_annual_ha!$D$1:$Z$1&lt;=periods!$C$2)*region_annual_ha!$D$2:$Z$85)/(periods!$C$2-periods!$B$2+1)</f>
        <v>141097.84402682</v>
      </c>
      <c r="D21" s="7" t="n">
        <f aca="false">SUMPRODUCT((region_annual_ha!$A$2:$A$85=$A21)*(region_annual_ha!$B$2:$B$85="crop")*(region_annual_ha!$D$1:$Z$1&gt;=periods!$B$3)*(region_annual_ha!$D$1:$Z$1&lt;=periods!$C$3)*region_annual_ha!$D$2:$Z$85)/(periods!$C$3-periods!$B$3+1)</f>
        <v>264985.788035455</v>
      </c>
      <c r="E21" s="7" t="n">
        <f aca="false">SUMPRODUCT((region_annual_ha!$A$2:$A$85=$A21)*(region_annual_ha!$B$2:$B$85="crop")*(region_annual_ha!$D$1:$Z$1&gt;=periods!$B$4)*(region_annual_ha!$D$1:$Z$1&lt;=periods!$C$4)*region_annual_ha!$D$2:$Z$85)/(periods!$C$4-periods!$B$4+1)</f>
        <v>384708.600691609</v>
      </c>
      <c r="F21" s="7" t="n">
        <f aca="false">SUMPRODUCT((region_annual_ha!$A$2:$A$85=$A21)*(region_annual_ha!$B$2:$B$85="crop")*(region_annual_ha!$D$1:$Z$1&gt;=periods!$B$5)*(region_annual_ha!$D$1:$Z$1&lt;=periods!$C$5)*region_annual_ha!$D$2:$Z$85)/(periods!$C$5-periods!$B$5+1)</f>
        <v>300888.347695738</v>
      </c>
      <c r="G21" s="7" t="n">
        <f aca="false">SUMPRODUCT((region_annual_ha!$A$2:$A$85=$A21)*(region_annual_ha!$B$2:$B$85="live")*(region_annual_ha!$D$1:$Z$1&gt;=periods!$B$2)*(region_annual_ha!$D$1:$Z$1&lt;=periods!$C$2)*region_annual_ha!$D$2:$Z$85)/(periods!$C$2-periods!$B$2+1)</f>
        <v>5889.33038216637</v>
      </c>
      <c r="H21" s="7" t="n">
        <f aca="false">SUMPRODUCT((region_annual_ha!$A$2:$A$85=$A21)*(region_annual_ha!$B$2:$B$85="live")*(region_annual_ha!$D$1:$Z$1&gt;=periods!$B$3)*(region_annual_ha!$D$1:$Z$1&lt;=periods!$C$3)*region_annual_ha!$D$2:$Z$85)/(periods!$C$3-periods!$B$3+1)</f>
        <v>7063.5399963404</v>
      </c>
      <c r="I21" s="7" t="n">
        <f aca="false">SUMPRODUCT((region_annual_ha!$A$2:$A$85=$A21)*(region_annual_ha!$B$2:$B$85="live")*(region_annual_ha!$D$1:$Z$1&gt;=periods!$B$4)*(region_annual_ha!$D$1:$Z$1&lt;=periods!$C$4)*region_annual_ha!$D$2:$Z$85)/(periods!$C$4-periods!$B$4+1)</f>
        <v>39223.4108223442</v>
      </c>
      <c r="J21" s="7" t="n">
        <f aca="false">SUMPRODUCT((region_annual_ha!$A$2:$A$85=$A21)*(region_annual_ha!$B$2:$B$85="live")*(region_annual_ha!$D$1:$Z$1&gt;=periods!$B$5)*(region_annual_ha!$D$1:$Z$1&lt;=periods!$C$5)*region_annual_ha!$D$2:$Z$85)/(periods!$C$5-periods!$B$5+1)</f>
        <v>25022.9600689746</v>
      </c>
      <c r="K21" s="7" t="n">
        <f aca="false">SUMPRODUCT((region_annual_ha!$A$2:$A$85=$A21)*(region_annual_ha!$B$2:$B$85="fors")*(region_annual_ha!$D$1:$Z$1&gt;=periods!$B$2)*(region_annual_ha!$D$1:$Z$1&lt;=periods!$C$2)*region_annual_ha!$D$2:$Z$85)/(periods!$C$2-periods!$B$2+1)</f>
        <v>1918.46962406474</v>
      </c>
      <c r="L21" s="7" t="n">
        <f aca="false">SUMPRODUCT((region_annual_ha!$A$2:$A$85=$A21)*(region_annual_ha!$B$2:$B$85="fors")*(region_annual_ha!$D$1:$Z$1&gt;=periods!$B$3)*(region_annual_ha!$D$1:$Z$1&lt;=periods!$C$3)*region_annual_ha!$D$2:$Z$85)/(periods!$C$3-periods!$B$3+1)</f>
        <v>2045.52218027008</v>
      </c>
      <c r="M21" s="7" t="n">
        <f aca="false">SUMPRODUCT((region_annual_ha!$A$2:$A$85=$A21)*(region_annual_ha!$B$2:$B$85="fors")*(region_annual_ha!$D$1:$Z$1&gt;=periods!$B$4)*(region_annual_ha!$D$1:$Z$1&lt;=periods!$C$4)*region_annual_ha!$D$2:$Z$85)/(periods!$C$4-periods!$B$4+1)</f>
        <v>2600.42900401132</v>
      </c>
      <c r="N21" s="7" t="n">
        <f aca="false">SUMPRODUCT((region_annual_ha!$A$2:$A$85=$A21)*(region_annual_ha!$B$2:$B$85="fors")*(region_annual_ha!$D$1:$Z$1&gt;=periods!$B$5)*(region_annual_ha!$D$1:$Z$1&lt;=periods!$C$5)*region_annual_ha!$D$2:$Z$85)/(periods!$C$5-periods!$B$5+1)</f>
        <v>2949.3289089523</v>
      </c>
      <c r="O21" s="7" t="n">
        <f aca="false">C21+G21+K21</f>
        <v>148905.644033051</v>
      </c>
      <c r="P21" s="7" t="n">
        <f aca="false">D21+H21+L21</f>
        <v>274094.850212066</v>
      </c>
      <c r="Q21" s="7" t="n">
        <f aca="false">E21+I21+M21</f>
        <v>426532.440517965</v>
      </c>
      <c r="R21" s="7" t="n">
        <f aca="false">F21+J21+N21</f>
        <v>328860.636673665</v>
      </c>
    </row>
    <row r="22" customFormat="false" ht="15" hidden="false" customHeight="false" outlineLevel="0" collapsed="false">
      <c r="A22" s="4" t="s">
        <v>69</v>
      </c>
      <c r="B22" s="4" t="s">
        <v>70</v>
      </c>
      <c r="C22" s="7" t="n">
        <f aca="false">SUMPRODUCT((region_annual_ha!$A$2:$A$85=$A22)*(region_annual_ha!$B$2:$B$85="crop")*(region_annual_ha!$D$1:$Z$1&gt;=periods!$B$2)*(region_annual_ha!$D$1:$Z$1&lt;=periods!$C$2)*region_annual_ha!$D$2:$Z$85)/(periods!$C$2-periods!$B$2+1)</f>
        <v>1261.12179119168</v>
      </c>
      <c r="D22" s="7" t="n">
        <f aca="false">SUMPRODUCT((region_annual_ha!$A$2:$A$85=$A22)*(region_annual_ha!$B$2:$B$85="crop")*(region_annual_ha!$D$1:$Z$1&gt;=periods!$B$3)*(region_annual_ha!$D$1:$Z$1&lt;=periods!$C$3)*region_annual_ha!$D$2:$Z$85)/(periods!$C$3-periods!$B$3+1)</f>
        <v>3000.780212385</v>
      </c>
      <c r="E22" s="7" t="n">
        <f aca="false">SUMPRODUCT((region_annual_ha!$A$2:$A$85=$A22)*(region_annual_ha!$B$2:$B$85="crop")*(region_annual_ha!$D$1:$Z$1&gt;=periods!$B$4)*(region_annual_ha!$D$1:$Z$1&lt;=periods!$C$4)*region_annual_ha!$D$2:$Z$85)/(periods!$C$4-periods!$B$4+1)</f>
        <v>2311.14442376876</v>
      </c>
      <c r="F22" s="7" t="n">
        <f aca="false">SUMPRODUCT((region_annual_ha!$A$2:$A$85=$A22)*(region_annual_ha!$B$2:$B$85="crop")*(region_annual_ha!$D$1:$Z$1&gt;=periods!$B$5)*(region_annual_ha!$D$1:$Z$1&lt;=periods!$C$5)*region_annual_ha!$D$2:$Z$85)/(periods!$C$5-periods!$B$5+1)</f>
        <v>975.746076451738</v>
      </c>
      <c r="G22" s="7" t="n">
        <f aca="false">SUMPRODUCT((region_annual_ha!$A$2:$A$85=$A22)*(region_annual_ha!$B$2:$B$85="live")*(region_annual_ha!$D$1:$Z$1&gt;=periods!$B$2)*(region_annual_ha!$D$1:$Z$1&lt;=periods!$C$2)*region_annual_ha!$D$2:$Z$85)/(periods!$C$2-periods!$B$2+1)</f>
        <v>4390.17758545149</v>
      </c>
      <c r="H22" s="7" t="n">
        <f aca="false">SUMPRODUCT((region_annual_ha!$A$2:$A$85=$A22)*(region_annual_ha!$B$2:$B$85="live")*(region_annual_ha!$D$1:$Z$1&gt;=periods!$B$3)*(region_annual_ha!$D$1:$Z$1&lt;=periods!$C$3)*region_annual_ha!$D$2:$Z$85)/(periods!$C$3-periods!$B$3+1)</f>
        <v>4214.57139464228</v>
      </c>
      <c r="I22" s="7" t="n">
        <f aca="false">SUMPRODUCT((region_annual_ha!$A$2:$A$85=$A22)*(region_annual_ha!$B$2:$B$85="live")*(region_annual_ha!$D$1:$Z$1&gt;=periods!$B$4)*(region_annual_ha!$D$1:$Z$1&lt;=periods!$C$4)*region_annual_ha!$D$2:$Z$85)/(periods!$C$4-periods!$B$4+1)</f>
        <v>6351.46392884011</v>
      </c>
      <c r="J22" s="7" t="n">
        <f aca="false">SUMPRODUCT((region_annual_ha!$A$2:$A$85=$A22)*(region_annual_ha!$B$2:$B$85="live")*(region_annual_ha!$D$1:$Z$1&gt;=periods!$B$5)*(region_annual_ha!$D$1:$Z$1&lt;=periods!$C$5)*region_annual_ha!$D$2:$Z$85)/(periods!$C$5-periods!$B$5+1)</f>
        <v>3852.87115676315</v>
      </c>
      <c r="K22" s="7" t="n">
        <f aca="false">SUMPRODUCT((region_annual_ha!$A$2:$A$85=$A22)*(region_annual_ha!$B$2:$B$85="fors")*(region_annual_ha!$D$1:$Z$1&gt;=periods!$B$2)*(region_annual_ha!$D$1:$Z$1&lt;=periods!$C$2)*region_annual_ha!$D$2:$Z$85)/(periods!$C$2-periods!$B$2+1)</f>
        <v>0</v>
      </c>
      <c r="L22" s="7" t="n">
        <f aca="false">SUMPRODUCT((region_annual_ha!$A$2:$A$85=$A22)*(region_annual_ha!$B$2:$B$85="fors")*(region_annual_ha!$D$1:$Z$1&gt;=periods!$B$3)*(region_annual_ha!$D$1:$Z$1&lt;=periods!$C$3)*region_annual_ha!$D$2:$Z$85)/(periods!$C$3-periods!$B$3+1)</f>
        <v>0</v>
      </c>
      <c r="M22" s="7" t="n">
        <f aca="false">SUMPRODUCT((region_annual_ha!$A$2:$A$85=$A22)*(region_annual_ha!$B$2:$B$85="fors")*(region_annual_ha!$D$1:$Z$1&gt;=periods!$B$4)*(region_annual_ha!$D$1:$Z$1&lt;=periods!$C$4)*region_annual_ha!$D$2:$Z$85)/(periods!$C$4-periods!$B$4+1)</f>
        <v>0</v>
      </c>
      <c r="N22" s="7" t="n">
        <f aca="false">SUMPRODUCT((region_annual_ha!$A$2:$A$85=$A22)*(region_annual_ha!$B$2:$B$85="fors")*(region_annual_ha!$D$1:$Z$1&gt;=periods!$B$5)*(region_annual_ha!$D$1:$Z$1&lt;=periods!$C$5)*region_annual_ha!$D$2:$Z$85)/(periods!$C$5-periods!$B$5+1)</f>
        <v>0</v>
      </c>
      <c r="O22" s="7" t="n">
        <f aca="false">C22+G22+K22</f>
        <v>5651.29937664317</v>
      </c>
      <c r="P22" s="7" t="n">
        <f aca="false">D22+H22+L22</f>
        <v>7215.35160702729</v>
      </c>
      <c r="Q22" s="7" t="n">
        <f aca="false">E22+I22+M22</f>
        <v>8662.60835260887</v>
      </c>
      <c r="R22" s="7" t="n">
        <f aca="false">F22+J22+N22</f>
        <v>4828.61723321489</v>
      </c>
    </row>
    <row r="23" customFormat="false" ht="15" hidden="false" customHeight="false" outlineLevel="0" collapsed="false">
      <c r="A23" s="4" t="s">
        <v>71</v>
      </c>
      <c r="B23" s="4" t="s">
        <v>72</v>
      </c>
      <c r="C23" s="7" t="n">
        <f aca="false">SUMPRODUCT((region_annual_ha!$A$2:$A$85=$A23)*(region_annual_ha!$B$2:$B$85="crop")*(region_annual_ha!$D$1:$Z$1&gt;=periods!$B$2)*(region_annual_ha!$D$1:$Z$1&lt;=periods!$C$2)*region_annual_ha!$D$2:$Z$85)/(periods!$C$2-periods!$B$2+1)</f>
        <v>5776.34966314056</v>
      </c>
      <c r="D23" s="7" t="n">
        <f aca="false">SUMPRODUCT((region_annual_ha!$A$2:$A$85=$A23)*(region_annual_ha!$B$2:$B$85="crop")*(region_annual_ha!$D$1:$Z$1&gt;=periods!$B$3)*(region_annual_ha!$D$1:$Z$1&lt;=periods!$C$3)*region_annual_ha!$D$2:$Z$85)/(periods!$C$3-periods!$B$3+1)</f>
        <v>31859.6616744293</v>
      </c>
      <c r="E23" s="7" t="n">
        <f aca="false">SUMPRODUCT((region_annual_ha!$A$2:$A$85=$A23)*(region_annual_ha!$B$2:$B$85="crop")*(region_annual_ha!$D$1:$Z$1&gt;=periods!$B$4)*(region_annual_ha!$D$1:$Z$1&lt;=periods!$C$4)*region_annual_ha!$D$2:$Z$85)/(periods!$C$4-periods!$B$4+1)</f>
        <v>123730.314182688</v>
      </c>
      <c r="F23" s="7" t="n">
        <f aca="false">SUMPRODUCT((region_annual_ha!$A$2:$A$85=$A23)*(region_annual_ha!$B$2:$B$85="crop")*(region_annual_ha!$D$1:$Z$1&gt;=periods!$B$5)*(region_annual_ha!$D$1:$Z$1&lt;=periods!$C$5)*region_annual_ha!$D$2:$Z$85)/(periods!$C$5-periods!$B$5+1)</f>
        <v>101902.969459442</v>
      </c>
      <c r="G23" s="7" t="n">
        <f aca="false">SUMPRODUCT((region_annual_ha!$A$2:$A$85=$A23)*(region_annual_ha!$B$2:$B$85="live")*(region_annual_ha!$D$1:$Z$1&gt;=periods!$B$2)*(region_annual_ha!$D$1:$Z$1&lt;=periods!$C$2)*region_annual_ha!$D$2:$Z$85)/(periods!$C$2-periods!$B$2+1)</f>
        <v>25346.5846022055</v>
      </c>
      <c r="H23" s="7" t="n">
        <f aca="false">SUMPRODUCT((region_annual_ha!$A$2:$A$85=$A23)*(region_annual_ha!$B$2:$B$85="live")*(region_annual_ha!$D$1:$Z$1&gt;=periods!$B$3)*(region_annual_ha!$D$1:$Z$1&lt;=periods!$C$3)*region_annual_ha!$D$2:$Z$85)/(periods!$C$3-periods!$B$3+1)</f>
        <v>29368.3011074716</v>
      </c>
      <c r="I23" s="7" t="n">
        <f aca="false">SUMPRODUCT((region_annual_ha!$A$2:$A$85=$A23)*(region_annual_ha!$B$2:$B$85="live")*(region_annual_ha!$D$1:$Z$1&gt;=periods!$B$4)*(region_annual_ha!$D$1:$Z$1&lt;=periods!$C$4)*region_annual_ha!$D$2:$Z$85)/(periods!$C$4-periods!$B$4+1)</f>
        <v>19232.115517477</v>
      </c>
      <c r="J23" s="7" t="n">
        <f aca="false">SUMPRODUCT((region_annual_ha!$A$2:$A$85=$A23)*(region_annual_ha!$B$2:$B$85="live")*(region_annual_ha!$D$1:$Z$1&gt;=periods!$B$5)*(region_annual_ha!$D$1:$Z$1&lt;=periods!$C$5)*region_annual_ha!$D$2:$Z$85)/(periods!$C$5-periods!$B$5+1)</f>
        <v>22324.4051796378</v>
      </c>
      <c r="K23" s="7" t="n">
        <f aca="false">SUMPRODUCT((region_annual_ha!$A$2:$A$85=$A23)*(region_annual_ha!$B$2:$B$85="fors")*(region_annual_ha!$D$1:$Z$1&gt;=periods!$B$2)*(region_annual_ha!$D$1:$Z$1&lt;=periods!$C$2)*region_annual_ha!$D$2:$Z$85)/(periods!$C$2-periods!$B$2+1)</f>
        <v>0</v>
      </c>
      <c r="L23" s="7" t="n">
        <f aca="false">SUMPRODUCT((region_annual_ha!$A$2:$A$85=$A23)*(region_annual_ha!$B$2:$B$85="fors")*(region_annual_ha!$D$1:$Z$1&gt;=periods!$B$3)*(region_annual_ha!$D$1:$Z$1&lt;=periods!$C$3)*region_annual_ha!$D$2:$Z$85)/(periods!$C$3-periods!$B$3+1)</f>
        <v>0</v>
      </c>
      <c r="M23" s="7" t="n">
        <f aca="false">SUMPRODUCT((region_annual_ha!$A$2:$A$85=$A23)*(region_annual_ha!$B$2:$B$85="fors")*(region_annual_ha!$D$1:$Z$1&gt;=periods!$B$4)*(region_annual_ha!$D$1:$Z$1&lt;=periods!$C$4)*region_annual_ha!$D$2:$Z$85)/(periods!$C$4-periods!$B$4+1)</f>
        <v>0</v>
      </c>
      <c r="N23" s="7" t="n">
        <f aca="false">SUMPRODUCT((region_annual_ha!$A$2:$A$85=$A23)*(region_annual_ha!$B$2:$B$85="fors")*(region_annual_ha!$D$1:$Z$1&gt;=periods!$B$5)*(region_annual_ha!$D$1:$Z$1&lt;=periods!$C$5)*region_annual_ha!$D$2:$Z$85)/(periods!$C$5-periods!$B$5+1)</f>
        <v>0</v>
      </c>
      <c r="O23" s="7" t="n">
        <f aca="false">C23+G23+K23</f>
        <v>31122.934265346</v>
      </c>
      <c r="P23" s="7" t="n">
        <f aca="false">D23+H23+L23</f>
        <v>61227.9627819009</v>
      </c>
      <c r="Q23" s="7" t="n">
        <f aca="false">E23+I23+M23</f>
        <v>142962.429700165</v>
      </c>
      <c r="R23" s="7" t="n">
        <f aca="false">F23+J23+N23</f>
        <v>124227.37463908</v>
      </c>
    </row>
    <row r="24" customFormat="false" ht="15" hidden="false" customHeight="false" outlineLevel="0" collapsed="false">
      <c r="A24" s="4" t="s">
        <v>73</v>
      </c>
      <c r="B24" s="4" t="s">
        <v>74</v>
      </c>
      <c r="C24" s="7" t="n">
        <f aca="false">SUMPRODUCT((region_annual_ha!$A$2:$A$85=$A24)*(region_annual_ha!$B$2:$B$85="crop")*(region_annual_ha!$D$1:$Z$1&gt;=periods!$B$2)*(region_annual_ha!$D$1:$Z$1&lt;=periods!$C$2)*region_annual_ha!$D$2:$Z$85)/(periods!$C$2-periods!$B$2+1)</f>
        <v>53237.1385016722</v>
      </c>
      <c r="D24" s="7" t="n">
        <f aca="false">SUMPRODUCT((region_annual_ha!$A$2:$A$85=$A24)*(region_annual_ha!$B$2:$B$85="crop")*(region_annual_ha!$D$1:$Z$1&gt;=periods!$B$3)*(region_annual_ha!$D$1:$Z$1&lt;=periods!$C$3)*region_annual_ha!$D$2:$Z$85)/(periods!$C$3-periods!$B$3+1)</f>
        <v>58267.4362638766</v>
      </c>
      <c r="E24" s="7" t="n">
        <f aca="false">SUMPRODUCT((region_annual_ha!$A$2:$A$85=$A24)*(region_annual_ha!$B$2:$B$85="crop")*(region_annual_ha!$D$1:$Z$1&gt;=periods!$B$4)*(region_annual_ha!$D$1:$Z$1&lt;=periods!$C$4)*region_annual_ha!$D$2:$Z$85)/(periods!$C$4-periods!$B$4+1)</f>
        <v>15025.5344852073</v>
      </c>
      <c r="F24" s="7" t="n">
        <f aca="false">SUMPRODUCT((region_annual_ha!$A$2:$A$85=$A24)*(region_annual_ha!$B$2:$B$85="crop")*(region_annual_ha!$D$1:$Z$1&gt;=periods!$B$5)*(region_annual_ha!$D$1:$Z$1&lt;=periods!$C$5)*region_annual_ha!$D$2:$Z$85)/(periods!$C$5-periods!$B$5+1)</f>
        <v>2898.46735626989</v>
      </c>
      <c r="G24" s="7" t="n">
        <f aca="false">SUMPRODUCT((region_annual_ha!$A$2:$A$85=$A24)*(region_annual_ha!$B$2:$B$85="live")*(region_annual_ha!$D$1:$Z$1&gt;=periods!$B$2)*(region_annual_ha!$D$1:$Z$1&lt;=periods!$C$2)*region_annual_ha!$D$2:$Z$85)/(periods!$C$2-periods!$B$2+1)</f>
        <v>5261.40424774942</v>
      </c>
      <c r="H24" s="7" t="n">
        <f aca="false">SUMPRODUCT((region_annual_ha!$A$2:$A$85=$A24)*(region_annual_ha!$B$2:$B$85="live")*(region_annual_ha!$D$1:$Z$1&gt;=periods!$B$3)*(region_annual_ha!$D$1:$Z$1&lt;=periods!$C$3)*region_annual_ha!$D$2:$Z$85)/(periods!$C$3-periods!$B$3+1)</f>
        <v>3578.58616248716</v>
      </c>
      <c r="I24" s="7" t="n">
        <f aca="false">SUMPRODUCT((region_annual_ha!$A$2:$A$85=$A24)*(region_annual_ha!$B$2:$B$85="live")*(region_annual_ha!$D$1:$Z$1&gt;=periods!$B$4)*(region_annual_ha!$D$1:$Z$1&lt;=periods!$C$4)*region_annual_ha!$D$2:$Z$85)/(periods!$C$4-periods!$B$4+1)</f>
        <v>43152.6210719941</v>
      </c>
      <c r="J24" s="7" t="n">
        <f aca="false">SUMPRODUCT((region_annual_ha!$A$2:$A$85=$A24)*(region_annual_ha!$B$2:$B$85="live")*(region_annual_ha!$D$1:$Z$1&gt;=periods!$B$5)*(region_annual_ha!$D$1:$Z$1&lt;=periods!$C$5)*region_annual_ha!$D$2:$Z$85)/(periods!$C$5-periods!$B$5+1)</f>
        <v>70873.6733059265</v>
      </c>
      <c r="K24" s="7" t="n">
        <f aca="false">SUMPRODUCT((region_annual_ha!$A$2:$A$85=$A24)*(region_annual_ha!$B$2:$B$85="fors")*(region_annual_ha!$D$1:$Z$1&gt;=periods!$B$2)*(region_annual_ha!$D$1:$Z$1&lt;=periods!$C$2)*region_annual_ha!$D$2:$Z$85)/(periods!$C$2-periods!$B$2+1)</f>
        <v>0</v>
      </c>
      <c r="L24" s="7" t="n">
        <f aca="false">SUMPRODUCT((region_annual_ha!$A$2:$A$85=$A24)*(region_annual_ha!$B$2:$B$85="fors")*(region_annual_ha!$D$1:$Z$1&gt;=periods!$B$3)*(region_annual_ha!$D$1:$Z$1&lt;=periods!$C$3)*region_annual_ha!$D$2:$Z$85)/(periods!$C$3-periods!$B$3+1)</f>
        <v>0</v>
      </c>
      <c r="M24" s="7" t="n">
        <f aca="false">SUMPRODUCT((region_annual_ha!$A$2:$A$85=$A24)*(region_annual_ha!$B$2:$B$85="fors")*(region_annual_ha!$D$1:$Z$1&gt;=periods!$B$4)*(region_annual_ha!$D$1:$Z$1&lt;=periods!$C$4)*region_annual_ha!$D$2:$Z$85)/(periods!$C$4-periods!$B$4+1)</f>
        <v>0</v>
      </c>
      <c r="N24" s="7" t="n">
        <f aca="false">SUMPRODUCT((region_annual_ha!$A$2:$A$85=$A24)*(region_annual_ha!$B$2:$B$85="fors")*(region_annual_ha!$D$1:$Z$1&gt;=periods!$B$5)*(region_annual_ha!$D$1:$Z$1&lt;=periods!$C$5)*region_annual_ha!$D$2:$Z$85)/(periods!$C$5-periods!$B$5+1)</f>
        <v>0</v>
      </c>
      <c r="O24" s="7" t="n">
        <f aca="false">C24+G24+K24</f>
        <v>58498.5427494216</v>
      </c>
      <c r="P24" s="7" t="n">
        <f aca="false">D24+H24+L24</f>
        <v>61846.0224263638</v>
      </c>
      <c r="Q24" s="7" t="n">
        <f aca="false">E24+I24+M24</f>
        <v>58178.1555572014</v>
      </c>
      <c r="R24" s="7" t="n">
        <f aca="false">F24+J24+N24</f>
        <v>73772.1406621964</v>
      </c>
    </row>
    <row r="25" customFormat="false" ht="15" hidden="false" customHeight="false" outlineLevel="0" collapsed="false">
      <c r="A25" s="4" t="s">
        <v>75</v>
      </c>
      <c r="B25" s="4" t="s">
        <v>76</v>
      </c>
      <c r="C25" s="7" t="n">
        <f aca="false">SUMPRODUCT((region_annual_ha!$A$2:$A$85=$A25)*(region_annual_ha!$B$2:$B$85="crop")*(region_annual_ha!$D$1:$Z$1&gt;=periods!$B$2)*(region_annual_ha!$D$1:$Z$1&lt;=periods!$C$2)*region_annual_ha!$D$2:$Z$85)/(periods!$C$2-periods!$B$2+1)</f>
        <v>2982.72557875109</v>
      </c>
      <c r="D25" s="7" t="n">
        <f aca="false">SUMPRODUCT((region_annual_ha!$A$2:$A$85=$A25)*(region_annual_ha!$B$2:$B$85="crop")*(region_annual_ha!$D$1:$Z$1&gt;=periods!$B$3)*(region_annual_ha!$D$1:$Z$1&lt;=periods!$C$3)*region_annual_ha!$D$2:$Z$85)/(periods!$C$3-periods!$B$3+1)</f>
        <v>1029.42036631179</v>
      </c>
      <c r="E25" s="7" t="n">
        <f aca="false">SUMPRODUCT((region_annual_ha!$A$2:$A$85=$A25)*(region_annual_ha!$B$2:$B$85="crop")*(region_annual_ha!$D$1:$Z$1&gt;=periods!$B$4)*(region_annual_ha!$D$1:$Z$1&lt;=periods!$C$4)*region_annual_ha!$D$2:$Z$85)/(periods!$C$4-periods!$B$4+1)</f>
        <v>442.976258791863</v>
      </c>
      <c r="F25" s="7" t="n">
        <f aca="false">SUMPRODUCT((region_annual_ha!$A$2:$A$85=$A25)*(region_annual_ha!$B$2:$B$85="crop")*(region_annual_ha!$D$1:$Z$1&gt;=periods!$B$5)*(region_annual_ha!$D$1:$Z$1&lt;=periods!$C$5)*region_annual_ha!$D$2:$Z$85)/(periods!$C$5-periods!$B$5+1)</f>
        <v>1994.00790490167</v>
      </c>
      <c r="G25" s="7" t="n">
        <f aca="false">SUMPRODUCT((region_annual_ha!$A$2:$A$85=$A25)*(region_annual_ha!$B$2:$B$85="live")*(region_annual_ha!$D$1:$Z$1&gt;=periods!$B$2)*(region_annual_ha!$D$1:$Z$1&lt;=periods!$C$2)*region_annual_ha!$D$2:$Z$85)/(periods!$C$2-periods!$B$2+1)</f>
        <v>772.478681776163</v>
      </c>
      <c r="H25" s="7" t="n">
        <f aca="false">SUMPRODUCT((region_annual_ha!$A$2:$A$85=$A25)*(region_annual_ha!$B$2:$B$85="live")*(region_annual_ha!$D$1:$Z$1&gt;=periods!$B$3)*(region_annual_ha!$D$1:$Z$1&lt;=periods!$C$3)*region_annual_ha!$D$2:$Z$85)/(periods!$C$3-periods!$B$3+1)</f>
        <v>1953.75317023697</v>
      </c>
      <c r="I25" s="7" t="n">
        <f aca="false">SUMPRODUCT((region_annual_ha!$A$2:$A$85=$A25)*(region_annual_ha!$B$2:$B$85="live")*(region_annual_ha!$D$1:$Z$1&gt;=periods!$B$4)*(region_annual_ha!$D$1:$Z$1&lt;=periods!$C$4)*region_annual_ha!$D$2:$Z$85)/(periods!$C$4-periods!$B$4+1)</f>
        <v>1372.5697100999</v>
      </c>
      <c r="J25" s="7" t="n">
        <f aca="false">SUMPRODUCT((region_annual_ha!$A$2:$A$85=$A25)*(region_annual_ha!$B$2:$B$85="live")*(region_annual_ha!$D$1:$Z$1&gt;=periods!$B$5)*(region_annual_ha!$D$1:$Z$1&lt;=periods!$C$5)*region_annual_ha!$D$2:$Z$85)/(periods!$C$5-periods!$B$5+1)</f>
        <v>670.02748890042</v>
      </c>
      <c r="K25" s="7" t="n">
        <f aca="false">SUMPRODUCT((region_annual_ha!$A$2:$A$85=$A25)*(region_annual_ha!$B$2:$B$85="fors")*(region_annual_ha!$D$1:$Z$1&gt;=periods!$B$2)*(region_annual_ha!$D$1:$Z$1&lt;=periods!$C$2)*region_annual_ha!$D$2:$Z$85)/(periods!$C$2-periods!$B$2+1)</f>
        <v>11.5107342254128</v>
      </c>
      <c r="L25" s="7" t="n">
        <f aca="false">SUMPRODUCT((region_annual_ha!$A$2:$A$85=$A25)*(region_annual_ha!$B$2:$B$85="fors")*(region_annual_ha!$D$1:$Z$1&gt;=periods!$B$3)*(region_annual_ha!$D$1:$Z$1&lt;=periods!$C$3)*region_annual_ha!$D$2:$Z$85)/(periods!$C$3-periods!$B$3+1)</f>
        <v>5.84836746536182</v>
      </c>
      <c r="M25" s="7" t="n">
        <f aca="false">SUMPRODUCT((region_annual_ha!$A$2:$A$85=$A25)*(region_annual_ha!$B$2:$B$85="fors")*(region_annual_ha!$D$1:$Z$1&gt;=periods!$B$4)*(region_annual_ha!$D$1:$Z$1&lt;=periods!$C$4)*region_annual_ha!$D$2:$Z$85)/(periods!$C$4-periods!$B$4+1)</f>
        <v>0</v>
      </c>
      <c r="N25" s="7" t="n">
        <f aca="false">SUMPRODUCT((region_annual_ha!$A$2:$A$85=$A25)*(region_annual_ha!$B$2:$B$85="fors")*(region_annual_ha!$D$1:$Z$1&gt;=periods!$B$5)*(region_annual_ha!$D$1:$Z$1&lt;=periods!$C$5)*region_annual_ha!$D$2:$Z$85)/(periods!$C$5-periods!$B$5+1)</f>
        <v>0</v>
      </c>
      <c r="O25" s="7" t="n">
        <f aca="false">C25+G25+K25</f>
        <v>3766.71499475267</v>
      </c>
      <c r="P25" s="7" t="n">
        <f aca="false">D25+H25+L25</f>
        <v>2989.02190401412</v>
      </c>
      <c r="Q25" s="7" t="n">
        <f aca="false">E25+I25+M25</f>
        <v>1815.54596889176</v>
      </c>
      <c r="R25" s="7" t="n">
        <f aca="false">F25+J25+N25</f>
        <v>2664.03539380209</v>
      </c>
    </row>
    <row r="26" customFormat="false" ht="15" hidden="false" customHeight="false" outlineLevel="0" collapsed="false">
      <c r="A26" s="4" t="s">
        <v>77</v>
      </c>
      <c r="B26" s="4" t="s">
        <v>78</v>
      </c>
      <c r="C26" s="7" t="n">
        <f aca="false">SUMPRODUCT((region_annual_ha!$A$2:$A$85=$A26)*(region_annual_ha!$B$2:$B$85="crop")*(region_annual_ha!$D$1:$Z$1&gt;=periods!$B$2)*(region_annual_ha!$D$1:$Z$1&lt;=periods!$C$2)*region_annual_ha!$D$2:$Z$85)/(periods!$C$2-periods!$B$2+1)</f>
        <v>95.2342777815223</v>
      </c>
      <c r="D26" s="7" t="n">
        <f aca="false">SUMPRODUCT((region_annual_ha!$A$2:$A$85=$A26)*(region_annual_ha!$B$2:$B$85="crop")*(region_annual_ha!$D$1:$Z$1&gt;=periods!$B$3)*(region_annual_ha!$D$1:$Z$1&lt;=periods!$C$3)*region_annual_ha!$D$2:$Z$85)/(periods!$C$3-periods!$B$3+1)</f>
        <v>120.041167294366</v>
      </c>
      <c r="E26" s="7" t="n">
        <f aca="false">SUMPRODUCT((region_annual_ha!$A$2:$A$85=$A26)*(region_annual_ha!$B$2:$B$85="crop")*(region_annual_ha!$D$1:$Z$1&gt;=periods!$B$4)*(region_annual_ha!$D$1:$Z$1&lt;=periods!$C$4)*region_annual_ha!$D$2:$Z$85)/(periods!$C$4-periods!$B$4+1)</f>
        <v>138.899055431743</v>
      </c>
      <c r="F26" s="7" t="n">
        <f aca="false">SUMPRODUCT((region_annual_ha!$A$2:$A$85=$A26)*(region_annual_ha!$B$2:$B$85="crop")*(region_annual_ha!$D$1:$Z$1&gt;=periods!$B$5)*(region_annual_ha!$D$1:$Z$1&lt;=periods!$C$5)*region_annual_ha!$D$2:$Z$85)/(periods!$C$5-periods!$B$5+1)</f>
        <v>3.43764307997045</v>
      </c>
      <c r="G26" s="7" t="n">
        <f aca="false">SUMPRODUCT((region_annual_ha!$A$2:$A$85=$A26)*(region_annual_ha!$B$2:$B$85="live")*(region_annual_ha!$D$1:$Z$1&gt;=periods!$B$2)*(region_annual_ha!$D$1:$Z$1&lt;=periods!$C$2)*region_annual_ha!$D$2:$Z$85)/(periods!$C$2-periods!$B$2+1)</f>
        <v>43.9333880169165</v>
      </c>
      <c r="H26" s="7" t="n">
        <f aca="false">SUMPRODUCT((region_annual_ha!$A$2:$A$85=$A26)*(region_annual_ha!$B$2:$B$85="live")*(region_annual_ha!$D$1:$Z$1&gt;=periods!$B$3)*(region_annual_ha!$D$1:$Z$1&lt;=periods!$C$3)*region_annual_ha!$D$2:$Z$85)/(periods!$C$3-periods!$B$3+1)</f>
        <v>40.0413742719864</v>
      </c>
      <c r="I26" s="7" t="n">
        <f aca="false">SUMPRODUCT((region_annual_ha!$A$2:$A$85=$A26)*(region_annual_ha!$B$2:$B$85="live")*(region_annual_ha!$D$1:$Z$1&gt;=periods!$B$4)*(region_annual_ha!$D$1:$Z$1&lt;=periods!$C$4)*region_annual_ha!$D$2:$Z$85)/(periods!$C$4-periods!$B$4+1)</f>
        <v>3.86257452106286</v>
      </c>
      <c r="J26" s="7" t="n">
        <f aca="false">SUMPRODUCT((region_annual_ha!$A$2:$A$85=$A26)*(region_annual_ha!$B$2:$B$85="live")*(region_annual_ha!$D$1:$Z$1&gt;=periods!$B$5)*(region_annual_ha!$D$1:$Z$1&lt;=periods!$C$5)*region_annual_ha!$D$2:$Z$85)/(periods!$C$5-periods!$B$5+1)</f>
        <v>2.73304864603561</v>
      </c>
      <c r="K26" s="7" t="n">
        <f aca="false">SUMPRODUCT((region_annual_ha!$A$2:$A$85=$A26)*(region_annual_ha!$B$2:$B$85="fors")*(region_annual_ha!$D$1:$Z$1&gt;=periods!$B$2)*(region_annual_ha!$D$1:$Z$1&lt;=periods!$C$2)*region_annual_ha!$D$2:$Z$85)/(periods!$C$2-periods!$B$2+1)</f>
        <v>11.8071089503995</v>
      </c>
      <c r="L26" s="7" t="n">
        <f aca="false">SUMPRODUCT((region_annual_ha!$A$2:$A$85=$A26)*(region_annual_ha!$B$2:$B$85="fors")*(region_annual_ha!$D$1:$Z$1&gt;=periods!$B$3)*(region_annual_ha!$D$1:$Z$1&lt;=periods!$C$3)*region_annual_ha!$D$2:$Z$85)/(periods!$C$3-periods!$B$3+1)</f>
        <v>1.25546708080715</v>
      </c>
      <c r="M26" s="7" t="n">
        <f aca="false">SUMPRODUCT((region_annual_ha!$A$2:$A$85=$A26)*(region_annual_ha!$B$2:$B$85="fors")*(region_annual_ha!$D$1:$Z$1&gt;=periods!$B$4)*(region_annual_ha!$D$1:$Z$1&lt;=periods!$C$4)*region_annual_ha!$D$2:$Z$85)/(periods!$C$4-periods!$B$4+1)</f>
        <v>5.6535658570615</v>
      </c>
      <c r="N26" s="7" t="n">
        <f aca="false">SUMPRODUCT((region_annual_ha!$A$2:$A$85=$A26)*(region_annual_ha!$B$2:$B$85="fors")*(region_annual_ha!$D$1:$Z$1&gt;=periods!$B$5)*(region_annual_ha!$D$1:$Z$1&lt;=periods!$C$5)*region_annual_ha!$D$2:$Z$85)/(periods!$C$5-periods!$B$5+1)</f>
        <v>3.22040086392393</v>
      </c>
      <c r="O26" s="7" t="n">
        <f aca="false">C26+G26+K26</f>
        <v>150.974774748838</v>
      </c>
      <c r="P26" s="7" t="n">
        <f aca="false">D26+H26+L26</f>
        <v>161.338008647159</v>
      </c>
      <c r="Q26" s="7" t="n">
        <f aca="false">E26+I26+M26</f>
        <v>148.415195809867</v>
      </c>
      <c r="R26" s="7" t="n">
        <f aca="false">F26+J26+N26</f>
        <v>9.39109258993</v>
      </c>
    </row>
    <row r="27" customFormat="false" ht="15" hidden="false" customHeight="false" outlineLevel="0" collapsed="false">
      <c r="A27" s="4" t="s">
        <v>79</v>
      </c>
      <c r="B27" s="4" t="s">
        <v>80</v>
      </c>
      <c r="C27" s="7" t="n">
        <f aca="false">SUMPRODUCT((region_annual_ha!$A$2:$A$85=$A27)*(region_annual_ha!$B$2:$B$85="crop")*(region_annual_ha!$D$1:$Z$1&gt;=periods!$B$2)*(region_annual_ha!$D$1:$Z$1&lt;=periods!$C$2)*region_annual_ha!$D$2:$Z$85)/(periods!$C$2-periods!$B$2+1)</f>
        <v>721219.532423031</v>
      </c>
      <c r="D27" s="7" t="n">
        <f aca="false">SUMPRODUCT((region_annual_ha!$A$2:$A$85=$A27)*(region_annual_ha!$B$2:$B$85="crop")*(region_annual_ha!$D$1:$Z$1&gt;=periods!$B$3)*(region_annual_ha!$D$1:$Z$1&lt;=periods!$C$3)*region_annual_ha!$D$2:$Z$85)/(periods!$C$3-periods!$B$3+1)</f>
        <v>552916.429897831</v>
      </c>
      <c r="E27" s="7" t="n">
        <f aca="false">SUMPRODUCT((region_annual_ha!$A$2:$A$85=$A27)*(region_annual_ha!$B$2:$B$85="crop")*(region_annual_ha!$D$1:$Z$1&gt;=periods!$B$4)*(region_annual_ha!$D$1:$Z$1&lt;=periods!$C$4)*region_annual_ha!$D$2:$Z$85)/(periods!$C$4-periods!$B$4+1)</f>
        <v>562410.242269168</v>
      </c>
      <c r="F27" s="7" t="n">
        <f aca="false">SUMPRODUCT((region_annual_ha!$A$2:$A$85=$A27)*(region_annual_ha!$B$2:$B$85="crop")*(region_annual_ha!$D$1:$Z$1&gt;=periods!$B$5)*(region_annual_ha!$D$1:$Z$1&lt;=periods!$C$5)*region_annual_ha!$D$2:$Z$85)/(periods!$C$5-periods!$B$5+1)</f>
        <v>330313.894185888</v>
      </c>
      <c r="G27" s="7" t="n">
        <f aca="false">SUMPRODUCT((region_annual_ha!$A$2:$A$85=$A27)*(region_annual_ha!$B$2:$B$85="live")*(region_annual_ha!$D$1:$Z$1&gt;=periods!$B$2)*(region_annual_ha!$D$1:$Z$1&lt;=periods!$C$2)*region_annual_ha!$D$2:$Z$85)/(periods!$C$2-periods!$B$2+1)</f>
        <v>477388.778939859</v>
      </c>
      <c r="H27" s="7" t="n">
        <f aca="false">SUMPRODUCT((region_annual_ha!$A$2:$A$85=$A27)*(region_annual_ha!$B$2:$B$85="live")*(region_annual_ha!$D$1:$Z$1&gt;=periods!$B$3)*(region_annual_ha!$D$1:$Z$1&lt;=periods!$C$3)*region_annual_ha!$D$2:$Z$85)/(periods!$C$3-periods!$B$3+1)</f>
        <v>338049.068870765</v>
      </c>
      <c r="I27" s="7" t="n">
        <f aca="false">SUMPRODUCT((region_annual_ha!$A$2:$A$85=$A27)*(region_annual_ha!$B$2:$B$85="live")*(region_annual_ha!$D$1:$Z$1&gt;=periods!$B$4)*(region_annual_ha!$D$1:$Z$1&lt;=periods!$C$4)*region_annual_ha!$D$2:$Z$85)/(periods!$C$4-periods!$B$4+1)</f>
        <v>410768.485403618</v>
      </c>
      <c r="J27" s="7" t="n">
        <f aca="false">SUMPRODUCT((region_annual_ha!$A$2:$A$85=$A27)*(region_annual_ha!$B$2:$B$85="live")*(region_annual_ha!$D$1:$Z$1&gt;=periods!$B$5)*(region_annual_ha!$D$1:$Z$1&lt;=periods!$C$5)*region_annual_ha!$D$2:$Z$85)/(periods!$C$5-periods!$B$5+1)</f>
        <v>291811.910428903</v>
      </c>
      <c r="K27" s="7" t="n">
        <f aca="false">SUMPRODUCT((region_annual_ha!$A$2:$A$85=$A27)*(region_annual_ha!$B$2:$B$85="fors")*(region_annual_ha!$D$1:$Z$1&gt;=periods!$B$2)*(region_annual_ha!$D$1:$Z$1&lt;=periods!$C$2)*region_annual_ha!$D$2:$Z$85)/(periods!$C$2-periods!$B$2+1)</f>
        <v>23991.9544705397</v>
      </c>
      <c r="L27" s="7" t="n">
        <f aca="false">SUMPRODUCT((region_annual_ha!$A$2:$A$85=$A27)*(region_annual_ha!$B$2:$B$85="fors")*(region_annual_ha!$D$1:$Z$1&gt;=periods!$B$3)*(region_annual_ha!$D$1:$Z$1&lt;=periods!$C$3)*region_annual_ha!$D$2:$Z$85)/(periods!$C$3-periods!$B$3+1)</f>
        <v>36268.1055333972</v>
      </c>
      <c r="M27" s="7" t="n">
        <f aca="false">SUMPRODUCT((region_annual_ha!$A$2:$A$85=$A27)*(region_annual_ha!$B$2:$B$85="fors")*(region_annual_ha!$D$1:$Z$1&gt;=periods!$B$4)*(region_annual_ha!$D$1:$Z$1&lt;=periods!$C$4)*region_annual_ha!$D$2:$Z$85)/(periods!$C$4-periods!$B$4+1)</f>
        <v>41436.9756515296</v>
      </c>
      <c r="N27" s="7" t="n">
        <f aca="false">SUMPRODUCT((region_annual_ha!$A$2:$A$85=$A27)*(region_annual_ha!$B$2:$B$85="fors")*(region_annual_ha!$D$1:$Z$1&gt;=periods!$B$5)*(region_annual_ha!$D$1:$Z$1&lt;=periods!$C$5)*region_annual_ha!$D$2:$Z$85)/(periods!$C$5-periods!$B$5+1)</f>
        <v>41157.6134958677</v>
      </c>
      <c r="O27" s="7" t="n">
        <f aca="false">C27+G27+K27</f>
        <v>1222600.26583343</v>
      </c>
      <c r="P27" s="7" t="n">
        <f aca="false">D27+H27+L27</f>
        <v>927233.604301993</v>
      </c>
      <c r="Q27" s="7" t="n">
        <f aca="false">E27+I27+M27</f>
        <v>1014615.70332432</v>
      </c>
      <c r="R27" s="7" t="n">
        <f aca="false">F27+J27+N27</f>
        <v>663283.418110658</v>
      </c>
    </row>
    <row r="28" customFormat="false" ht="15" hidden="false" customHeight="false" outlineLevel="0" collapsed="false">
      <c r="A28" s="4" t="s">
        <v>81</v>
      </c>
      <c r="B28" s="4" t="s">
        <v>82</v>
      </c>
      <c r="C28" s="7" t="n">
        <f aca="false">SUMPRODUCT((region_annual_ha!$A$2:$A$85=$A28)*(region_annual_ha!$B$2:$B$85="crop")*(region_annual_ha!$D$1:$Z$1&gt;=periods!$B$2)*(region_annual_ha!$D$1:$Z$1&lt;=periods!$C$2)*region_annual_ha!$D$2:$Z$85)/(periods!$C$2-periods!$B$2+1)</f>
        <v>188784.252576429</v>
      </c>
      <c r="D28" s="7" t="n">
        <f aca="false">SUMPRODUCT((region_annual_ha!$A$2:$A$85=$A28)*(region_annual_ha!$B$2:$B$85="crop")*(region_annual_ha!$D$1:$Z$1&gt;=periods!$B$3)*(region_annual_ha!$D$1:$Z$1&lt;=periods!$C$3)*region_annual_ha!$D$2:$Z$85)/(periods!$C$3-periods!$B$3+1)</f>
        <v>231719.609226627</v>
      </c>
      <c r="E28" s="7" t="n">
        <f aca="false">SUMPRODUCT((region_annual_ha!$A$2:$A$85=$A28)*(region_annual_ha!$B$2:$B$85="crop")*(region_annual_ha!$D$1:$Z$1&gt;=periods!$B$4)*(region_annual_ha!$D$1:$Z$1&lt;=periods!$C$4)*region_annual_ha!$D$2:$Z$85)/(periods!$C$4-periods!$B$4+1)</f>
        <v>220980.254305844</v>
      </c>
      <c r="F28" s="7" t="n">
        <f aca="false">SUMPRODUCT((region_annual_ha!$A$2:$A$85=$A28)*(region_annual_ha!$B$2:$B$85="crop")*(region_annual_ha!$D$1:$Z$1&gt;=periods!$B$5)*(region_annual_ha!$D$1:$Z$1&lt;=periods!$C$5)*region_annual_ha!$D$2:$Z$85)/(periods!$C$5-periods!$B$5+1)</f>
        <v>173572.765027423</v>
      </c>
      <c r="G28" s="7" t="n">
        <f aca="false">SUMPRODUCT((region_annual_ha!$A$2:$A$85=$A28)*(region_annual_ha!$B$2:$B$85="live")*(region_annual_ha!$D$1:$Z$1&gt;=periods!$B$2)*(region_annual_ha!$D$1:$Z$1&lt;=periods!$C$2)*region_annual_ha!$D$2:$Z$85)/(periods!$C$2-periods!$B$2+1)</f>
        <v>24819.8725231106</v>
      </c>
      <c r="H28" s="7" t="n">
        <f aca="false">SUMPRODUCT((region_annual_ha!$A$2:$A$85=$A28)*(region_annual_ha!$B$2:$B$85="live")*(region_annual_ha!$D$1:$Z$1&gt;=periods!$B$3)*(region_annual_ha!$D$1:$Z$1&lt;=periods!$C$3)*region_annual_ha!$D$2:$Z$85)/(periods!$C$3-periods!$B$3+1)</f>
        <v>50544.6791661053</v>
      </c>
      <c r="I28" s="7" t="n">
        <f aca="false">SUMPRODUCT((region_annual_ha!$A$2:$A$85=$A28)*(region_annual_ha!$B$2:$B$85="live")*(region_annual_ha!$D$1:$Z$1&gt;=periods!$B$4)*(region_annual_ha!$D$1:$Z$1&lt;=periods!$C$4)*region_annual_ha!$D$2:$Z$85)/(periods!$C$4-periods!$B$4+1)</f>
        <v>74261.5560164842</v>
      </c>
      <c r="J28" s="7" t="n">
        <f aca="false">SUMPRODUCT((region_annual_ha!$A$2:$A$85=$A28)*(region_annual_ha!$B$2:$B$85="live")*(region_annual_ha!$D$1:$Z$1&gt;=periods!$B$5)*(region_annual_ha!$D$1:$Z$1&lt;=periods!$C$5)*region_annual_ha!$D$2:$Z$85)/(periods!$C$5-periods!$B$5+1)</f>
        <v>79017.0461309211</v>
      </c>
      <c r="K28" s="7" t="n">
        <f aca="false">SUMPRODUCT((region_annual_ha!$A$2:$A$85=$A28)*(region_annual_ha!$B$2:$B$85="fors")*(region_annual_ha!$D$1:$Z$1&gt;=periods!$B$2)*(region_annual_ha!$D$1:$Z$1&lt;=periods!$C$2)*region_annual_ha!$D$2:$Z$85)/(periods!$C$2-periods!$B$2+1)</f>
        <v>26042.5447212466</v>
      </c>
      <c r="L28" s="7" t="n">
        <f aca="false">SUMPRODUCT((region_annual_ha!$A$2:$A$85=$A28)*(region_annual_ha!$B$2:$B$85="fors")*(region_annual_ha!$D$1:$Z$1&gt;=periods!$B$3)*(region_annual_ha!$D$1:$Z$1&lt;=periods!$C$3)*region_annual_ha!$D$2:$Z$85)/(periods!$C$3-periods!$B$3+1)</f>
        <v>61693.7863645074</v>
      </c>
      <c r="M28" s="7" t="n">
        <f aca="false">SUMPRODUCT((region_annual_ha!$A$2:$A$85=$A28)*(region_annual_ha!$B$2:$B$85="fors")*(region_annual_ha!$D$1:$Z$1&gt;=periods!$B$4)*(region_annual_ha!$D$1:$Z$1&lt;=periods!$C$4)*region_annual_ha!$D$2:$Z$85)/(periods!$C$4-periods!$B$4+1)</f>
        <v>60063.0312101032</v>
      </c>
      <c r="N28" s="7" t="n">
        <f aca="false">SUMPRODUCT((region_annual_ha!$A$2:$A$85=$A28)*(region_annual_ha!$B$2:$B$85="fors")*(region_annual_ha!$D$1:$Z$1&gt;=periods!$B$5)*(region_annual_ha!$D$1:$Z$1&lt;=periods!$C$5)*region_annual_ha!$D$2:$Z$85)/(periods!$C$5-periods!$B$5+1)</f>
        <v>55638.6840022164</v>
      </c>
      <c r="O28" s="7" t="n">
        <f aca="false">C28+G28+K28</f>
        <v>239646.669820787</v>
      </c>
      <c r="P28" s="7" t="n">
        <f aca="false">D28+H28+L28</f>
        <v>343958.07475724</v>
      </c>
      <c r="Q28" s="7" t="n">
        <f aca="false">E28+I28+M28</f>
        <v>355304.841532431</v>
      </c>
      <c r="R28" s="7" t="n">
        <f aca="false">F28+J28+N28</f>
        <v>308228.495160561</v>
      </c>
    </row>
    <row r="29" customFormat="false" ht="15" hidden="false" customHeight="false" outlineLevel="0" collapsed="false">
      <c r="A29" s="4" t="s">
        <v>83</v>
      </c>
      <c r="B29" s="4" t="s">
        <v>84</v>
      </c>
      <c r="C29" s="7" t="n">
        <f aca="false">SUMPRODUCT((region_annual_ha!$A$2:$A$85=$A29)*(region_annual_ha!$B$2:$B$85="crop")*(region_annual_ha!$D$1:$Z$1&gt;=periods!$B$2)*(region_annual_ha!$D$1:$Z$1&lt;=periods!$C$2)*region_annual_ha!$D$2:$Z$85)/(periods!$C$2-periods!$B$2+1)</f>
        <v>252.038290382107</v>
      </c>
      <c r="D29" s="7" t="n">
        <f aca="false">SUMPRODUCT((region_annual_ha!$A$2:$A$85=$A29)*(region_annual_ha!$B$2:$B$85="crop")*(region_annual_ha!$D$1:$Z$1&gt;=periods!$B$3)*(region_annual_ha!$D$1:$Z$1&lt;=periods!$C$3)*region_annual_ha!$D$2:$Z$85)/(periods!$C$3-periods!$B$3+1)</f>
        <v>122.846256116613</v>
      </c>
      <c r="E29" s="7" t="n">
        <f aca="false">SUMPRODUCT((region_annual_ha!$A$2:$A$85=$A29)*(region_annual_ha!$B$2:$B$85="crop")*(region_annual_ha!$D$1:$Z$1&gt;=periods!$B$4)*(region_annual_ha!$D$1:$Z$1&lt;=periods!$C$4)*region_annual_ha!$D$2:$Z$85)/(periods!$C$4-periods!$B$4+1)</f>
        <v>270.894415957464</v>
      </c>
      <c r="F29" s="7" t="n">
        <f aca="false">SUMPRODUCT((region_annual_ha!$A$2:$A$85=$A29)*(region_annual_ha!$B$2:$B$85="crop")*(region_annual_ha!$D$1:$Z$1&gt;=periods!$B$5)*(region_annual_ha!$D$1:$Z$1&lt;=periods!$C$5)*region_annual_ha!$D$2:$Z$85)/(periods!$C$5-periods!$B$5+1)</f>
        <v>27.2312387947611</v>
      </c>
      <c r="G29" s="7" t="n">
        <f aca="false">SUMPRODUCT((region_annual_ha!$A$2:$A$85=$A29)*(region_annual_ha!$B$2:$B$85="live")*(region_annual_ha!$D$1:$Z$1&gt;=periods!$B$2)*(region_annual_ha!$D$1:$Z$1&lt;=periods!$C$2)*region_annual_ha!$D$2:$Z$85)/(periods!$C$2-periods!$B$2+1)</f>
        <v>374.811777266173</v>
      </c>
      <c r="H29" s="7" t="n">
        <f aca="false">SUMPRODUCT((region_annual_ha!$A$2:$A$85=$A29)*(region_annual_ha!$B$2:$B$85="live")*(region_annual_ha!$D$1:$Z$1&gt;=periods!$B$3)*(region_annual_ha!$D$1:$Z$1&lt;=periods!$C$3)*region_annual_ha!$D$2:$Z$85)/(periods!$C$3-periods!$B$3+1)</f>
        <v>239.558594513169</v>
      </c>
      <c r="I29" s="7" t="n">
        <f aca="false">SUMPRODUCT((region_annual_ha!$A$2:$A$85=$A29)*(region_annual_ha!$B$2:$B$85="live")*(region_annual_ha!$D$1:$Z$1&gt;=periods!$B$4)*(region_annual_ha!$D$1:$Z$1&lt;=periods!$C$4)*region_annual_ha!$D$2:$Z$85)/(periods!$C$4-periods!$B$4+1)</f>
        <v>179.209630932769</v>
      </c>
      <c r="J29" s="7" t="n">
        <f aca="false">SUMPRODUCT((region_annual_ha!$A$2:$A$85=$A29)*(region_annual_ha!$B$2:$B$85="live")*(region_annual_ha!$D$1:$Z$1&gt;=periods!$B$5)*(region_annual_ha!$D$1:$Z$1&lt;=periods!$C$5)*region_annual_ha!$D$2:$Z$85)/(periods!$C$5-periods!$B$5+1)</f>
        <v>92.7185927056346</v>
      </c>
      <c r="K29" s="7" t="n">
        <f aca="false">SUMPRODUCT((region_annual_ha!$A$2:$A$85=$A29)*(region_annual_ha!$B$2:$B$85="fors")*(region_annual_ha!$D$1:$Z$1&gt;=periods!$B$2)*(region_annual_ha!$D$1:$Z$1&lt;=periods!$C$2)*region_annual_ha!$D$2:$Z$85)/(periods!$C$2-periods!$B$2+1)</f>
        <v>5894.95239219055</v>
      </c>
      <c r="L29" s="7" t="n">
        <f aca="false">SUMPRODUCT((region_annual_ha!$A$2:$A$85=$A29)*(region_annual_ha!$B$2:$B$85="fors")*(region_annual_ha!$D$1:$Z$1&gt;=periods!$B$3)*(region_annual_ha!$D$1:$Z$1&lt;=periods!$C$3)*region_annual_ha!$D$2:$Z$85)/(periods!$C$3-periods!$B$3+1)</f>
        <v>3271.37113816921</v>
      </c>
      <c r="M29" s="7" t="n">
        <f aca="false">SUMPRODUCT((region_annual_ha!$A$2:$A$85=$A29)*(region_annual_ha!$B$2:$B$85="fors")*(region_annual_ha!$D$1:$Z$1&gt;=periods!$B$4)*(region_annual_ha!$D$1:$Z$1&lt;=periods!$C$4)*region_annual_ha!$D$2:$Z$85)/(periods!$C$4-periods!$B$4+1)</f>
        <v>0</v>
      </c>
      <c r="N29" s="7" t="n">
        <f aca="false">SUMPRODUCT((region_annual_ha!$A$2:$A$85=$A29)*(region_annual_ha!$B$2:$B$85="fors")*(region_annual_ha!$D$1:$Z$1&gt;=periods!$B$5)*(region_annual_ha!$D$1:$Z$1&lt;=periods!$C$5)*region_annual_ha!$D$2:$Z$85)/(periods!$C$5-periods!$B$5+1)</f>
        <v>0</v>
      </c>
      <c r="O29" s="7" t="n">
        <f aca="false">C29+G29+K29</f>
        <v>6521.80245983883</v>
      </c>
      <c r="P29" s="7" t="n">
        <f aca="false">D29+H29+L29</f>
        <v>3633.775988799</v>
      </c>
      <c r="Q29" s="7" t="n">
        <f aca="false">E29+I29+M29</f>
        <v>450.104046890232</v>
      </c>
      <c r="R29" s="7" t="n">
        <f aca="false">F29+J29+N29</f>
        <v>119.949831500396</v>
      </c>
    </row>
    <row r="30" customFormat="false" ht="15" hidden="false" customHeight="false" outlineLevel="0" collapsed="false">
      <c r="A30" s="4" t="s">
        <v>85</v>
      </c>
      <c r="B30" s="4" t="s">
        <v>86</v>
      </c>
      <c r="C30" s="7" t="n">
        <f aca="false">SUMPRODUCT((region_annual_ha!$A$2:$A$85=$A30)*(region_annual_ha!$B$2:$B$85="crop")*(region_annual_ha!$D$1:$Z$1&gt;=periods!$B$2)*(region_annual_ha!$D$1:$Z$1&lt;=periods!$C$2)*region_annual_ha!$D$2:$Z$85)/(periods!$C$2-periods!$B$2+1)</f>
        <v>715876.520555672</v>
      </c>
      <c r="D30" s="7" t="n">
        <f aca="false">SUMPRODUCT((region_annual_ha!$A$2:$A$85=$A30)*(region_annual_ha!$B$2:$B$85="crop")*(region_annual_ha!$D$1:$Z$1&gt;=periods!$B$3)*(region_annual_ha!$D$1:$Z$1&lt;=periods!$C$3)*region_annual_ha!$D$2:$Z$85)/(periods!$C$3-periods!$B$3+1)</f>
        <v>639106.160382796</v>
      </c>
      <c r="E30" s="7" t="n">
        <f aca="false">SUMPRODUCT((region_annual_ha!$A$2:$A$85=$A30)*(region_annual_ha!$B$2:$B$85="crop")*(region_annual_ha!$D$1:$Z$1&gt;=periods!$B$4)*(region_annual_ha!$D$1:$Z$1&lt;=periods!$C$4)*region_annual_ha!$D$2:$Z$85)/(periods!$C$4-periods!$B$4+1)</f>
        <v>278707.297751286</v>
      </c>
      <c r="F30" s="7" t="n">
        <f aca="false">SUMPRODUCT((region_annual_ha!$A$2:$A$85=$A30)*(region_annual_ha!$B$2:$B$85="crop")*(region_annual_ha!$D$1:$Z$1&gt;=periods!$B$5)*(region_annual_ha!$D$1:$Z$1&lt;=periods!$C$5)*region_annual_ha!$D$2:$Z$85)/(periods!$C$5-periods!$B$5+1)</f>
        <v>84932.9486330899</v>
      </c>
      <c r="G30" s="7" t="n">
        <f aca="false">SUMPRODUCT((region_annual_ha!$A$2:$A$85=$A30)*(region_annual_ha!$B$2:$B$85="live")*(region_annual_ha!$D$1:$Z$1&gt;=periods!$B$2)*(region_annual_ha!$D$1:$Z$1&lt;=periods!$C$2)*region_annual_ha!$D$2:$Z$85)/(periods!$C$2-periods!$B$2+1)</f>
        <v>5493.41365546529</v>
      </c>
      <c r="H30" s="7" t="n">
        <f aca="false">SUMPRODUCT((region_annual_ha!$A$2:$A$85=$A30)*(region_annual_ha!$B$2:$B$85="live")*(region_annual_ha!$D$1:$Z$1&gt;=periods!$B$3)*(region_annual_ha!$D$1:$Z$1&lt;=periods!$C$3)*region_annual_ha!$D$2:$Z$85)/(periods!$C$3-periods!$B$3+1)</f>
        <v>13800.1500398977</v>
      </c>
      <c r="I30" s="7" t="n">
        <f aca="false">SUMPRODUCT((region_annual_ha!$A$2:$A$85=$A30)*(region_annual_ha!$B$2:$B$85="live")*(region_annual_ha!$D$1:$Z$1&gt;=periods!$B$4)*(region_annual_ha!$D$1:$Z$1&lt;=periods!$C$4)*region_annual_ha!$D$2:$Z$85)/(periods!$C$4-periods!$B$4+1)</f>
        <v>8473.3452770759</v>
      </c>
      <c r="J30" s="7" t="n">
        <f aca="false">SUMPRODUCT((region_annual_ha!$A$2:$A$85=$A30)*(region_annual_ha!$B$2:$B$85="live")*(region_annual_ha!$D$1:$Z$1&gt;=periods!$B$5)*(region_annual_ha!$D$1:$Z$1&lt;=periods!$C$5)*region_annual_ha!$D$2:$Z$85)/(periods!$C$5-periods!$B$5+1)</f>
        <v>10340.4888552334</v>
      </c>
      <c r="K30" s="7" t="n">
        <f aca="false">SUMPRODUCT((region_annual_ha!$A$2:$A$85=$A30)*(region_annual_ha!$B$2:$B$85="fors")*(region_annual_ha!$D$1:$Z$1&gt;=periods!$B$2)*(region_annual_ha!$D$1:$Z$1&lt;=periods!$C$2)*region_annual_ha!$D$2:$Z$85)/(periods!$C$2-periods!$B$2+1)</f>
        <v>78423.5365320545</v>
      </c>
      <c r="L30" s="7" t="n">
        <f aca="false">SUMPRODUCT((region_annual_ha!$A$2:$A$85=$A30)*(region_annual_ha!$B$2:$B$85="fors")*(region_annual_ha!$D$1:$Z$1&gt;=periods!$B$3)*(region_annual_ha!$D$1:$Z$1&lt;=periods!$C$3)*region_annual_ha!$D$2:$Z$85)/(periods!$C$3-periods!$B$3+1)</f>
        <v>76384.3550121529</v>
      </c>
      <c r="M30" s="7" t="n">
        <f aca="false">SUMPRODUCT((region_annual_ha!$A$2:$A$85=$A30)*(region_annual_ha!$B$2:$B$85="fors")*(region_annual_ha!$D$1:$Z$1&gt;=periods!$B$4)*(region_annual_ha!$D$1:$Z$1&lt;=periods!$C$4)*region_annual_ha!$D$2:$Z$85)/(periods!$C$4-periods!$B$4+1)</f>
        <v>42908.1908513953</v>
      </c>
      <c r="N30" s="7" t="n">
        <f aca="false">SUMPRODUCT((region_annual_ha!$A$2:$A$85=$A30)*(region_annual_ha!$B$2:$B$85="fors")*(region_annual_ha!$D$1:$Z$1&gt;=periods!$B$5)*(region_annual_ha!$D$1:$Z$1&lt;=periods!$C$5)*region_annual_ha!$D$2:$Z$85)/(periods!$C$5-periods!$B$5+1)</f>
        <v>7364.38312276628</v>
      </c>
      <c r="O30" s="7" t="n">
        <f aca="false">C30+G30+K30</f>
        <v>799793.470743192</v>
      </c>
      <c r="P30" s="7" t="n">
        <f aca="false">D30+H30+L30</f>
        <v>729290.665434846</v>
      </c>
      <c r="Q30" s="7" t="n">
        <f aca="false">E30+I30+M30</f>
        <v>330088.833879757</v>
      </c>
      <c r="R30" s="7" t="n">
        <f aca="false">F30+J30+N30</f>
        <v>102637.82061109</v>
      </c>
    </row>
    <row r="31" customFormat="false" ht="15" hidden="false" customHeight="false" outlineLevel="0" collapsed="false">
      <c r="A31" s="1" t="s">
        <v>87</v>
      </c>
      <c r="B31" s="1" t="s">
        <v>88</v>
      </c>
      <c r="C31" s="8" t="n">
        <f aca="false">SUM(C3:C30)</f>
        <v>3293896.36752634</v>
      </c>
      <c r="D31" s="8" t="n">
        <f aca="false">SUM(D3:D30)</f>
        <v>3087252.93386757</v>
      </c>
      <c r="E31" s="8" t="n">
        <f aca="false">SUM(E3:E30)</f>
        <v>2762618.89936665</v>
      </c>
      <c r="F31" s="8" t="n">
        <f aca="false">SUM(F3:F30)</f>
        <v>2080248.82228585</v>
      </c>
      <c r="G31" s="8" t="n">
        <f aca="false">SUM(G3:G30)</f>
        <v>1987118.30142447</v>
      </c>
      <c r="H31" s="8" t="n">
        <f aca="false">SUM(H3:H30)</f>
        <v>1766556.36773476</v>
      </c>
      <c r="I31" s="8" t="n">
        <f aca="false">SUM(I3:I30)</f>
        <v>2460678.53455941</v>
      </c>
      <c r="J31" s="8" t="n">
        <f aca="false">SUM(J3:J30)</f>
        <v>2304655.08278891</v>
      </c>
      <c r="K31" s="8" t="n">
        <f aca="false">SUM(K3:K30)</f>
        <v>652039.433041198</v>
      </c>
      <c r="L31" s="8" t="n">
        <f aca="false">SUM(L3:L30)</f>
        <v>703218.137811967</v>
      </c>
      <c r="M31" s="8" t="n">
        <f aca="false">SUM(M3:M30)</f>
        <v>640989.386621836</v>
      </c>
      <c r="N31" s="8" t="n">
        <f aca="false">SUM(N3:N30)</f>
        <v>588136.677408922</v>
      </c>
      <c r="O31" s="8" t="n">
        <f aca="false">C31+G31+K31</f>
        <v>5933054.10199201</v>
      </c>
      <c r="P31" s="8" t="n">
        <f aca="false">D31+H31+L31</f>
        <v>5557027.43941429</v>
      </c>
      <c r="Q31" s="8" t="n">
        <f aca="false">E31+I31+M31</f>
        <v>5864286.8205479</v>
      </c>
      <c r="R31" s="8" t="n">
        <f aca="false">F31+J31+N31</f>
        <v>4973040.58248369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18" min="3" style="0" width="15"/>
  </cols>
  <sheetData>
    <row r="1" customFormat="false" ht="30" hidden="false" customHeight="true" outlineLevel="0" collapsed="false">
      <c r="A1" s="3" t="s">
        <v>28</v>
      </c>
      <c r="B1" s="3" t="s">
        <v>29</v>
      </c>
      <c r="C1" s="3" t="str">
        <f aca="false">"crop "&amp;periods!$A$2</f>
        <v>crop 2007-2010</v>
      </c>
      <c r="D1" s="3" t="str">
        <f aca="false">"crop "&amp;periods!$A$3</f>
        <v>crop 2010-2015</v>
      </c>
      <c r="E1" s="3" t="str">
        <f aca="false">"crop "&amp;periods!$A$4</f>
        <v>crop 2015-2020</v>
      </c>
      <c r="F1" s="3" t="str">
        <f aca="false">"crop "&amp;periods!$A$5</f>
        <v>crop 2020-2023</v>
      </c>
      <c r="G1" s="3" t="str">
        <f aca="false">"live "&amp;periods!$A$2</f>
        <v>live 2007-2010</v>
      </c>
      <c r="H1" s="3" t="str">
        <f aca="false">"live "&amp;periods!$A$3</f>
        <v>live 2010-2015</v>
      </c>
      <c r="I1" s="3" t="str">
        <f aca="false">"live "&amp;periods!$A$4</f>
        <v>live 2015-2020</v>
      </c>
      <c r="J1" s="3" t="str">
        <f aca="false">"live "&amp;periods!$A$5</f>
        <v>live 2020-2023</v>
      </c>
      <c r="K1" s="3" t="str">
        <f aca="false">"fors "&amp;periods!$A$2</f>
        <v>fors 2007-2010</v>
      </c>
      <c r="L1" s="3" t="str">
        <f aca="false">"fors "&amp;periods!$A$3</f>
        <v>fors 2010-2015</v>
      </c>
      <c r="M1" s="3" t="str">
        <f aca="false">"fors "&amp;periods!$A$4</f>
        <v>fors 2015-2020</v>
      </c>
      <c r="N1" s="3" t="str">
        <f aca="false">"fors "&amp;periods!$A$5</f>
        <v>fors 2020-2023</v>
      </c>
      <c r="O1" s="3" t="str">
        <f aca="false">"total "&amp;periods!$A$2</f>
        <v>total 2007-2010</v>
      </c>
      <c r="P1" s="3" t="str">
        <f aca="false">"total "&amp;periods!$A$3</f>
        <v>total 2010-2015</v>
      </c>
      <c r="Q1" s="3" t="str">
        <f aca="false">"total "&amp;periods!$A$4</f>
        <v>total 2015-2020</v>
      </c>
      <c r="R1" s="3" t="str">
        <f aca="false">"total "&amp;periods!$A$5</f>
        <v>total 2020-2023</v>
      </c>
    </row>
    <row r="2" customFormat="false" ht="15" hidden="false" customHeight="false" outlineLevel="0" collapsed="false">
      <c r="A2" s="6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Format="false" ht="15" hidden="false" customHeight="false" outlineLevel="0" collapsed="false">
      <c r="A3" s="4" t="s">
        <v>31</v>
      </c>
      <c r="B3" s="4" t="s">
        <v>32</v>
      </c>
      <c r="C3" s="7" t="n">
        <f aca="false">SUMPRODUCT((region_annual_ha!$A$2:$A$85=$A3)*(region_annual_ha!$B$2:$B$85="crop")*(region_annual_ha!$D$1:$Z$1&gt;=periods!$B$2)*(region_annual_ha!$D$1:$Z$1&lt;=periods!$C$2)*region_annual_ha!$D$2:$Z$85)</f>
        <v>52906.7659659254</v>
      </c>
      <c r="D3" s="7" t="n">
        <f aca="false">SUMPRODUCT((region_annual_ha!$A$2:$A$85=$A3)*(region_annual_ha!$B$2:$B$85="crop")*(region_annual_ha!$D$1:$Z$1&gt;=periods!$B$3)*(region_annual_ha!$D$1:$Z$1&lt;=periods!$C$3)*region_annual_ha!$D$2:$Z$85)</f>
        <v>242969.582676798</v>
      </c>
      <c r="E3" s="7" t="n">
        <f aca="false">SUMPRODUCT((region_annual_ha!$A$2:$A$85=$A3)*(region_annual_ha!$B$2:$B$85="crop")*(region_annual_ha!$D$1:$Z$1&gt;=periods!$B$4)*(region_annual_ha!$D$1:$Z$1&lt;=periods!$C$4)*region_annual_ha!$D$2:$Z$85)</f>
        <v>113080.470314</v>
      </c>
      <c r="F3" s="7" t="n">
        <f aca="false">SUMPRODUCT((region_annual_ha!$A$2:$A$85=$A3)*(region_annual_ha!$B$2:$B$85="crop")*(region_annual_ha!$D$1:$Z$1&gt;=periods!$B$5)*(region_annual_ha!$D$1:$Z$1&lt;=periods!$C$5)*region_annual_ha!$D$2:$Z$85)</f>
        <v>20001.5032178429</v>
      </c>
      <c r="G3" s="7" t="n">
        <f aca="false">SUMPRODUCT((region_annual_ha!$A$2:$A$85=$A3)*(region_annual_ha!$B$2:$B$85="live")*(region_annual_ha!$D$1:$Z$1&gt;=periods!$B$2)*(region_annual_ha!$D$1:$Z$1&lt;=periods!$C$2)*region_annual_ha!$D$2:$Z$85)</f>
        <v>226966.715719035</v>
      </c>
      <c r="H3" s="7" t="n">
        <f aca="false">SUMPRODUCT((region_annual_ha!$A$2:$A$85=$A3)*(region_annual_ha!$B$2:$B$85="live")*(region_annual_ha!$D$1:$Z$1&gt;=periods!$B$3)*(region_annual_ha!$D$1:$Z$1&lt;=periods!$C$3)*region_annual_ha!$D$2:$Z$85)</f>
        <v>230184.378444562</v>
      </c>
      <c r="I3" s="7" t="n">
        <f aca="false">SUMPRODUCT((region_annual_ha!$A$2:$A$85=$A3)*(region_annual_ha!$B$2:$B$85="live")*(region_annual_ha!$D$1:$Z$1&gt;=periods!$B$4)*(region_annual_ha!$D$1:$Z$1&lt;=periods!$C$4)*region_annual_ha!$D$2:$Z$85)</f>
        <v>309315.694602912</v>
      </c>
      <c r="J3" s="7" t="n">
        <f aca="false">SUMPRODUCT((region_annual_ha!$A$2:$A$85=$A3)*(region_annual_ha!$B$2:$B$85="live")*(region_annual_ha!$D$1:$Z$1&gt;=periods!$B$5)*(region_annual_ha!$D$1:$Z$1&lt;=periods!$C$5)*region_annual_ha!$D$2:$Z$85)</f>
        <v>118367.754710561</v>
      </c>
      <c r="K3" s="7" t="n">
        <f aca="false">SUMPRODUCT((region_annual_ha!$A$2:$A$85=$A3)*(region_annual_ha!$B$2:$B$85="fors")*(region_annual_ha!$D$1:$Z$1&gt;=periods!$B$2)*(region_annual_ha!$D$1:$Z$1&lt;=periods!$C$2)*region_annual_ha!$D$2:$Z$85)</f>
        <v>605100</v>
      </c>
      <c r="L3" s="7" t="n">
        <f aca="false">SUMPRODUCT((region_annual_ha!$A$2:$A$85=$A3)*(region_annual_ha!$B$2:$B$85="fors")*(region_annual_ha!$D$1:$Z$1&gt;=periods!$B$3)*(region_annual_ha!$D$1:$Z$1&lt;=periods!$C$3)*region_annual_ha!$D$2:$Z$85)</f>
        <v>915800</v>
      </c>
      <c r="M3" s="7" t="n">
        <f aca="false">SUMPRODUCT((region_annual_ha!$A$2:$A$85=$A3)*(region_annual_ha!$B$2:$B$85="fors")*(region_annual_ha!$D$1:$Z$1&gt;=periods!$B$4)*(region_annual_ha!$D$1:$Z$1&lt;=periods!$C$4)*region_annual_ha!$D$2:$Z$85)</f>
        <v>295000</v>
      </c>
      <c r="N3" s="7" t="n">
        <f aca="false">SUMPRODUCT((region_annual_ha!$A$2:$A$85=$A3)*(region_annual_ha!$B$2:$B$85="fors")*(region_annual_ha!$D$1:$Z$1&gt;=periods!$B$5)*(region_annual_ha!$D$1:$Z$1&lt;=periods!$C$5)*region_annual_ha!$D$2:$Z$85)</f>
        <v>0</v>
      </c>
      <c r="O3" s="7" t="n">
        <f aca="false">C3+G3+K3</f>
        <v>884973.48168496</v>
      </c>
      <c r="P3" s="7" t="n">
        <f aca="false">D3+H3+L3</f>
        <v>1388953.96112136</v>
      </c>
      <c r="Q3" s="7" t="n">
        <f aca="false">E3+I3+M3</f>
        <v>717396.164916912</v>
      </c>
      <c r="R3" s="7" t="n">
        <f aca="false">F3+J3+N3</f>
        <v>138369.257928404</v>
      </c>
    </row>
    <row r="4" customFormat="false" ht="15" hidden="false" customHeight="false" outlineLevel="0" collapsed="false">
      <c r="A4" s="4" t="s">
        <v>33</v>
      </c>
      <c r="B4" s="4" t="s">
        <v>34</v>
      </c>
      <c r="C4" s="7" t="n">
        <f aca="false">SUMPRODUCT((region_annual_ha!$A$2:$A$85=$A4)*(region_annual_ha!$B$2:$B$85="crop")*(region_annual_ha!$D$1:$Z$1&gt;=periods!$B$2)*(region_annual_ha!$D$1:$Z$1&lt;=periods!$C$2)*region_annual_ha!$D$2:$Z$85)</f>
        <v>27186.2778687187</v>
      </c>
      <c r="D4" s="7" t="n">
        <f aca="false">SUMPRODUCT((region_annual_ha!$A$2:$A$85=$A4)*(region_annual_ha!$B$2:$B$85="crop")*(region_annual_ha!$D$1:$Z$1&gt;=periods!$B$3)*(region_annual_ha!$D$1:$Z$1&lt;=periods!$C$3)*region_annual_ha!$D$2:$Z$85)</f>
        <v>114183.516371929</v>
      </c>
      <c r="E4" s="7" t="n">
        <f aca="false">SUMPRODUCT((region_annual_ha!$A$2:$A$85=$A4)*(region_annual_ha!$B$2:$B$85="crop")*(region_annual_ha!$D$1:$Z$1&gt;=periods!$B$4)*(region_annual_ha!$D$1:$Z$1&lt;=periods!$C$4)*region_annual_ha!$D$2:$Z$85)</f>
        <v>35867.3703615439</v>
      </c>
      <c r="F4" s="7" t="n">
        <f aca="false">SUMPRODUCT((region_annual_ha!$A$2:$A$85=$A4)*(region_annual_ha!$B$2:$B$85="crop")*(region_annual_ha!$D$1:$Z$1&gt;=periods!$B$5)*(region_annual_ha!$D$1:$Z$1&lt;=periods!$C$5)*region_annual_ha!$D$2:$Z$85)</f>
        <v>0</v>
      </c>
      <c r="G4" s="7" t="n">
        <f aca="false">SUMPRODUCT((region_annual_ha!$A$2:$A$85=$A4)*(region_annual_ha!$B$2:$B$85="live")*(region_annual_ha!$D$1:$Z$1&gt;=periods!$B$2)*(region_annual_ha!$D$1:$Z$1&lt;=periods!$C$2)*region_annual_ha!$D$2:$Z$85)</f>
        <v>10148.0283052314</v>
      </c>
      <c r="H4" s="7" t="n">
        <f aca="false">SUMPRODUCT((region_annual_ha!$A$2:$A$85=$A4)*(region_annual_ha!$B$2:$B$85="live")*(region_annual_ha!$D$1:$Z$1&gt;=periods!$B$3)*(region_annual_ha!$D$1:$Z$1&lt;=periods!$C$3)*region_annual_ha!$D$2:$Z$85)</f>
        <v>0</v>
      </c>
      <c r="I4" s="7" t="n">
        <f aca="false">SUMPRODUCT((region_annual_ha!$A$2:$A$85=$A4)*(region_annual_ha!$B$2:$B$85="live")*(region_annual_ha!$D$1:$Z$1&gt;=periods!$B$4)*(region_annual_ha!$D$1:$Z$1&lt;=periods!$C$4)*region_annual_ha!$D$2:$Z$85)</f>
        <v>31334.8666487267</v>
      </c>
      <c r="J4" s="7" t="n">
        <f aca="false">SUMPRODUCT((region_annual_ha!$A$2:$A$85=$A4)*(region_annual_ha!$B$2:$B$85="live")*(region_annual_ha!$D$1:$Z$1&gt;=periods!$B$5)*(region_annual_ha!$D$1:$Z$1&lt;=periods!$C$5)*region_annual_ha!$D$2:$Z$85)</f>
        <v>16251.1590644979</v>
      </c>
      <c r="K4" s="7" t="n">
        <f aca="false">SUMPRODUCT((region_annual_ha!$A$2:$A$85=$A4)*(region_annual_ha!$B$2:$B$85="fors")*(region_annual_ha!$D$1:$Z$1&gt;=periods!$B$2)*(region_annual_ha!$D$1:$Z$1&lt;=periods!$C$2)*region_annual_ha!$D$2:$Z$85)</f>
        <v>0</v>
      </c>
      <c r="L4" s="7" t="n">
        <f aca="false">SUMPRODUCT((region_annual_ha!$A$2:$A$85=$A4)*(region_annual_ha!$B$2:$B$85="fors")*(region_annual_ha!$D$1:$Z$1&gt;=periods!$B$3)*(region_annual_ha!$D$1:$Z$1&lt;=periods!$C$3)*region_annual_ha!$D$2:$Z$85)</f>
        <v>0</v>
      </c>
      <c r="M4" s="7" t="n">
        <f aca="false">SUMPRODUCT((region_annual_ha!$A$2:$A$85=$A4)*(region_annual_ha!$B$2:$B$85="fors")*(region_annual_ha!$D$1:$Z$1&gt;=periods!$B$4)*(region_annual_ha!$D$1:$Z$1&lt;=periods!$C$4)*region_annual_ha!$D$2:$Z$85)</f>
        <v>0</v>
      </c>
      <c r="N4" s="7" t="n">
        <f aca="false">SUMPRODUCT((region_annual_ha!$A$2:$A$85=$A4)*(region_annual_ha!$B$2:$B$85="fors")*(region_annual_ha!$D$1:$Z$1&gt;=periods!$B$5)*(region_annual_ha!$D$1:$Z$1&lt;=periods!$C$5)*region_annual_ha!$D$2:$Z$85)</f>
        <v>0</v>
      </c>
      <c r="O4" s="7" t="n">
        <f aca="false">C4+G4+K4</f>
        <v>37334.3061739501</v>
      </c>
      <c r="P4" s="7" t="n">
        <f aca="false">D4+H4+L4</f>
        <v>114183.516371929</v>
      </c>
      <c r="Q4" s="7" t="n">
        <f aca="false">E4+I4+M4</f>
        <v>67202.2370102706</v>
      </c>
      <c r="R4" s="7" t="n">
        <f aca="false">F4+J4+N4</f>
        <v>16251.1590644979</v>
      </c>
    </row>
    <row r="5" customFormat="false" ht="15" hidden="false" customHeight="false" outlineLevel="0" collapsed="false">
      <c r="A5" s="4" t="s">
        <v>35</v>
      </c>
      <c r="B5" s="4" t="s">
        <v>36</v>
      </c>
      <c r="C5" s="7" t="n">
        <f aca="false">SUMPRODUCT((region_annual_ha!$A$2:$A$85=$A5)*(region_annual_ha!$B$2:$B$85="crop")*(region_annual_ha!$D$1:$Z$1&gt;=periods!$B$2)*(region_annual_ha!$D$1:$Z$1&lt;=periods!$C$2)*region_annual_ha!$D$2:$Z$85)</f>
        <v>23974.104535827</v>
      </c>
      <c r="D5" s="7" t="n">
        <f aca="false">SUMPRODUCT((region_annual_ha!$A$2:$A$85=$A5)*(region_annual_ha!$B$2:$B$85="crop")*(region_annual_ha!$D$1:$Z$1&gt;=periods!$B$3)*(region_annual_ha!$D$1:$Z$1&lt;=periods!$C$3)*region_annual_ha!$D$2:$Z$85)</f>
        <v>35722.0312572775</v>
      </c>
      <c r="E5" s="7" t="n">
        <f aca="false">SUMPRODUCT((region_annual_ha!$A$2:$A$85=$A5)*(region_annual_ha!$B$2:$B$85="crop")*(region_annual_ha!$D$1:$Z$1&gt;=periods!$B$4)*(region_annual_ha!$D$1:$Z$1&lt;=periods!$C$4)*region_annual_ha!$D$2:$Z$85)</f>
        <v>604637.845053375</v>
      </c>
      <c r="F5" s="7" t="n">
        <f aca="false">SUMPRODUCT((region_annual_ha!$A$2:$A$85=$A5)*(region_annual_ha!$B$2:$B$85="crop")*(region_annual_ha!$D$1:$Z$1&gt;=periods!$B$5)*(region_annual_ha!$D$1:$Z$1&lt;=periods!$C$5)*region_annual_ha!$D$2:$Z$85)</f>
        <v>0</v>
      </c>
      <c r="G5" s="7" t="n">
        <f aca="false">SUMPRODUCT((region_annual_ha!$A$2:$A$85=$A5)*(region_annual_ha!$B$2:$B$85="live")*(region_annual_ha!$D$1:$Z$1&gt;=periods!$B$2)*(region_annual_ha!$D$1:$Z$1&lt;=periods!$C$2)*region_annual_ha!$D$2:$Z$85)</f>
        <v>0</v>
      </c>
      <c r="H5" s="7" t="n">
        <f aca="false">SUMPRODUCT((region_annual_ha!$A$2:$A$85=$A5)*(region_annual_ha!$B$2:$B$85="live")*(region_annual_ha!$D$1:$Z$1&gt;=periods!$B$3)*(region_annual_ha!$D$1:$Z$1&lt;=periods!$C$3)*region_annual_ha!$D$2:$Z$85)</f>
        <v>113094.135080872</v>
      </c>
      <c r="I5" s="7" t="n">
        <f aca="false">SUMPRODUCT((region_annual_ha!$A$2:$A$85=$A5)*(region_annual_ha!$B$2:$B$85="live")*(region_annual_ha!$D$1:$Z$1&gt;=periods!$B$4)*(region_annual_ha!$D$1:$Z$1&lt;=periods!$C$4)*region_annual_ha!$D$2:$Z$85)</f>
        <v>150038.857132273</v>
      </c>
      <c r="J5" s="7" t="n">
        <f aca="false">SUMPRODUCT((region_annual_ha!$A$2:$A$85=$A5)*(region_annual_ha!$B$2:$B$85="live")*(region_annual_ha!$D$1:$Z$1&gt;=periods!$B$5)*(region_annual_ha!$D$1:$Z$1&lt;=periods!$C$5)*region_annual_ha!$D$2:$Z$85)</f>
        <v>131166.578727167</v>
      </c>
      <c r="K5" s="7" t="n">
        <f aca="false">SUMPRODUCT((region_annual_ha!$A$2:$A$85=$A5)*(region_annual_ha!$B$2:$B$85="fors")*(region_annual_ha!$D$1:$Z$1&gt;=periods!$B$2)*(region_annual_ha!$D$1:$Z$1&lt;=periods!$C$2)*region_annual_ha!$D$2:$Z$85)</f>
        <v>7761.41088916197</v>
      </c>
      <c r="L5" s="7" t="n">
        <f aca="false">SUMPRODUCT((region_annual_ha!$A$2:$A$85=$A5)*(region_annual_ha!$B$2:$B$85="fors")*(region_annual_ha!$D$1:$Z$1&gt;=periods!$B$3)*(region_annual_ha!$D$1:$Z$1&lt;=periods!$C$3)*region_annual_ha!$D$2:$Z$85)</f>
        <v>7885.18114420205</v>
      </c>
      <c r="M5" s="7" t="n">
        <f aca="false">SUMPRODUCT((region_annual_ha!$A$2:$A$85=$A5)*(region_annual_ha!$B$2:$B$85="fors")*(region_annual_ha!$D$1:$Z$1&gt;=periods!$B$4)*(region_annual_ha!$D$1:$Z$1&lt;=periods!$C$4)*region_annual_ha!$D$2:$Z$85)</f>
        <v>0</v>
      </c>
      <c r="N5" s="7" t="n">
        <f aca="false">SUMPRODUCT((region_annual_ha!$A$2:$A$85=$A5)*(region_annual_ha!$B$2:$B$85="fors")*(region_annual_ha!$D$1:$Z$1&gt;=periods!$B$5)*(region_annual_ha!$D$1:$Z$1&lt;=periods!$C$5)*region_annual_ha!$D$2:$Z$85)</f>
        <v>0</v>
      </c>
      <c r="O5" s="7" t="n">
        <f aca="false">C5+G5+K5</f>
        <v>31735.5154249889</v>
      </c>
      <c r="P5" s="7" t="n">
        <f aca="false">D5+H5+L5</f>
        <v>156701.347482352</v>
      </c>
      <c r="Q5" s="7" t="n">
        <f aca="false">E5+I5+M5</f>
        <v>754676.702185648</v>
      </c>
      <c r="R5" s="7" t="n">
        <f aca="false">F5+J5+N5</f>
        <v>131166.578727167</v>
      </c>
    </row>
    <row r="6" customFormat="false" ht="15" hidden="false" customHeight="false" outlineLevel="0" collapsed="false">
      <c r="A6" s="4" t="s">
        <v>37</v>
      </c>
      <c r="B6" s="4" t="s">
        <v>38</v>
      </c>
      <c r="C6" s="7" t="n">
        <f aca="false">SUMPRODUCT((region_annual_ha!$A$2:$A$85=$A6)*(region_annual_ha!$B$2:$B$85="crop")*(region_annual_ha!$D$1:$Z$1&gt;=periods!$B$2)*(region_annual_ha!$D$1:$Z$1&lt;=periods!$C$2)*region_annual_ha!$D$2:$Z$85)</f>
        <v>4789.33978614485</v>
      </c>
      <c r="D6" s="7" t="n">
        <f aca="false">SUMPRODUCT((region_annual_ha!$A$2:$A$85=$A6)*(region_annual_ha!$B$2:$B$85="crop")*(region_annual_ha!$D$1:$Z$1&gt;=periods!$B$3)*(region_annual_ha!$D$1:$Z$1&lt;=periods!$C$3)*region_annual_ha!$D$2:$Z$85)</f>
        <v>6113.57227341318</v>
      </c>
      <c r="E6" s="7" t="n">
        <f aca="false">SUMPRODUCT((region_annual_ha!$A$2:$A$85=$A6)*(region_annual_ha!$B$2:$B$85="crop")*(region_annual_ha!$D$1:$Z$1&gt;=periods!$B$4)*(region_annual_ha!$D$1:$Z$1&lt;=periods!$C$4)*region_annual_ha!$D$2:$Z$85)</f>
        <v>3742.40773218788</v>
      </c>
      <c r="F6" s="7" t="n">
        <f aca="false">SUMPRODUCT((region_annual_ha!$A$2:$A$85=$A6)*(region_annual_ha!$B$2:$B$85="crop")*(region_annual_ha!$D$1:$Z$1&gt;=periods!$B$5)*(region_annual_ha!$D$1:$Z$1&lt;=periods!$C$5)*region_annual_ha!$D$2:$Z$85)</f>
        <v>682.804447489033</v>
      </c>
      <c r="G6" s="7" t="n">
        <f aca="false">SUMPRODUCT((region_annual_ha!$A$2:$A$85=$A6)*(region_annual_ha!$B$2:$B$85="live")*(region_annual_ha!$D$1:$Z$1&gt;=periods!$B$2)*(region_annual_ha!$D$1:$Z$1&lt;=periods!$C$2)*region_annual_ha!$D$2:$Z$85)</f>
        <v>359.35806626826</v>
      </c>
      <c r="H6" s="7" t="n">
        <f aca="false">SUMPRODUCT((region_annual_ha!$A$2:$A$85=$A6)*(region_annual_ha!$B$2:$B$85="live")*(region_annual_ha!$D$1:$Z$1&gt;=periods!$B$3)*(region_annual_ha!$D$1:$Z$1&lt;=periods!$C$3)*region_annual_ha!$D$2:$Z$85)</f>
        <v>440.967374605242</v>
      </c>
      <c r="I6" s="7" t="n">
        <f aca="false">SUMPRODUCT((region_annual_ha!$A$2:$A$85=$A6)*(region_annual_ha!$B$2:$B$85="live")*(region_annual_ha!$D$1:$Z$1&gt;=periods!$B$4)*(region_annual_ha!$D$1:$Z$1&lt;=periods!$C$4)*region_annual_ha!$D$2:$Z$85)</f>
        <v>527.117484854402</v>
      </c>
      <c r="J6" s="7" t="n">
        <f aca="false">SUMPRODUCT((region_annual_ha!$A$2:$A$85=$A6)*(region_annual_ha!$B$2:$B$85="live")*(region_annual_ha!$D$1:$Z$1&gt;=periods!$B$5)*(region_annual_ha!$D$1:$Z$1&lt;=periods!$C$5)*region_annual_ha!$D$2:$Z$85)</f>
        <v>799.165576854397</v>
      </c>
      <c r="K6" s="7" t="n">
        <f aca="false">SUMPRODUCT((region_annual_ha!$A$2:$A$85=$A6)*(region_annual_ha!$B$2:$B$85="fors")*(region_annual_ha!$D$1:$Z$1&gt;=periods!$B$2)*(region_annual_ha!$D$1:$Z$1&lt;=periods!$C$2)*region_annual_ha!$D$2:$Z$85)</f>
        <v>0</v>
      </c>
      <c r="L6" s="7" t="n">
        <f aca="false">SUMPRODUCT((region_annual_ha!$A$2:$A$85=$A6)*(region_annual_ha!$B$2:$B$85="fors")*(region_annual_ha!$D$1:$Z$1&gt;=periods!$B$3)*(region_annual_ha!$D$1:$Z$1&lt;=periods!$C$3)*region_annual_ha!$D$2:$Z$85)</f>
        <v>0</v>
      </c>
      <c r="M6" s="7" t="n">
        <f aca="false">SUMPRODUCT((region_annual_ha!$A$2:$A$85=$A6)*(region_annual_ha!$B$2:$B$85="fors")*(region_annual_ha!$D$1:$Z$1&gt;=periods!$B$4)*(region_annual_ha!$D$1:$Z$1&lt;=periods!$C$4)*region_annual_ha!$D$2:$Z$85)</f>
        <v>0</v>
      </c>
      <c r="N6" s="7" t="n">
        <f aca="false">SUMPRODUCT((region_annual_ha!$A$2:$A$85=$A6)*(region_annual_ha!$B$2:$B$85="fors")*(region_annual_ha!$D$1:$Z$1&gt;=periods!$B$5)*(region_annual_ha!$D$1:$Z$1&lt;=periods!$C$5)*region_annual_ha!$D$2:$Z$85)</f>
        <v>0</v>
      </c>
      <c r="O6" s="7" t="n">
        <f aca="false">C6+G6+K6</f>
        <v>5148.69785241311</v>
      </c>
      <c r="P6" s="7" t="n">
        <f aca="false">D6+H6+L6</f>
        <v>6554.53964801842</v>
      </c>
      <c r="Q6" s="7" t="n">
        <f aca="false">E6+I6+M6</f>
        <v>4269.52521704229</v>
      </c>
      <c r="R6" s="7" t="n">
        <f aca="false">F6+J6+N6</f>
        <v>1481.97002434343</v>
      </c>
    </row>
    <row r="7" customFormat="false" ht="15" hidden="false" customHeight="false" outlineLevel="0" collapsed="false">
      <c r="A7" s="4" t="s">
        <v>39</v>
      </c>
      <c r="B7" s="4" t="s">
        <v>40</v>
      </c>
      <c r="C7" s="7" t="n">
        <f aca="false">SUMPRODUCT((region_annual_ha!$A$2:$A$85=$A7)*(region_annual_ha!$B$2:$B$85="crop")*(region_annual_ha!$D$1:$Z$1&gt;=periods!$B$2)*(region_annual_ha!$D$1:$Z$1&lt;=periods!$C$2)*region_annual_ha!$D$2:$Z$85)</f>
        <v>118137.729411497</v>
      </c>
      <c r="D7" s="7" t="n">
        <f aca="false">SUMPRODUCT((region_annual_ha!$A$2:$A$85=$A7)*(region_annual_ha!$B$2:$B$85="crop")*(region_annual_ha!$D$1:$Z$1&gt;=periods!$B$3)*(region_annual_ha!$D$1:$Z$1&lt;=periods!$C$3)*region_annual_ha!$D$2:$Z$85)</f>
        <v>185515.983438824</v>
      </c>
      <c r="E7" s="7" t="n">
        <f aca="false">SUMPRODUCT((region_annual_ha!$A$2:$A$85=$A7)*(region_annual_ha!$B$2:$B$85="crop")*(region_annual_ha!$D$1:$Z$1&gt;=periods!$B$4)*(region_annual_ha!$D$1:$Z$1&lt;=periods!$C$4)*region_annual_ha!$D$2:$Z$85)</f>
        <v>90656.3102567776</v>
      </c>
      <c r="F7" s="7" t="n">
        <f aca="false">SUMPRODUCT((region_annual_ha!$A$2:$A$85=$A7)*(region_annual_ha!$B$2:$B$85="crop")*(region_annual_ha!$D$1:$Z$1&gt;=periods!$B$5)*(region_annual_ha!$D$1:$Z$1&lt;=periods!$C$5)*region_annual_ha!$D$2:$Z$85)</f>
        <v>28441.703590409</v>
      </c>
      <c r="G7" s="7" t="n">
        <f aca="false">SUMPRODUCT((region_annual_ha!$A$2:$A$85=$A7)*(region_annual_ha!$B$2:$B$85="live")*(region_annual_ha!$D$1:$Z$1&gt;=periods!$B$2)*(region_annual_ha!$D$1:$Z$1&lt;=periods!$C$2)*region_annual_ha!$D$2:$Z$85)</f>
        <v>17802.4878348475</v>
      </c>
      <c r="H7" s="7" t="n">
        <f aca="false">SUMPRODUCT((region_annual_ha!$A$2:$A$85=$A7)*(region_annual_ha!$B$2:$B$85="live")*(region_annual_ha!$D$1:$Z$1&gt;=periods!$B$3)*(region_annual_ha!$D$1:$Z$1&lt;=periods!$C$3)*region_annual_ha!$D$2:$Z$85)</f>
        <v>40308.6315835507</v>
      </c>
      <c r="I7" s="7" t="n">
        <f aca="false">SUMPRODUCT((region_annual_ha!$A$2:$A$85=$A7)*(region_annual_ha!$B$2:$B$85="live")*(region_annual_ha!$D$1:$Z$1&gt;=periods!$B$4)*(region_annual_ha!$D$1:$Z$1&lt;=periods!$C$4)*region_annual_ha!$D$2:$Z$85)</f>
        <v>53822.2803281264</v>
      </c>
      <c r="J7" s="7" t="n">
        <f aca="false">SUMPRODUCT((region_annual_ha!$A$2:$A$85=$A7)*(region_annual_ha!$B$2:$B$85="live")*(region_annual_ha!$D$1:$Z$1&gt;=periods!$B$5)*(region_annual_ha!$D$1:$Z$1&lt;=periods!$C$5)*region_annual_ha!$D$2:$Z$85)</f>
        <v>31229.5647542233</v>
      </c>
      <c r="K7" s="7" t="n">
        <f aca="false">SUMPRODUCT((region_annual_ha!$A$2:$A$85=$A7)*(region_annual_ha!$B$2:$B$85="fors")*(region_annual_ha!$D$1:$Z$1&gt;=periods!$B$2)*(region_annual_ha!$D$1:$Z$1&lt;=periods!$C$2)*region_annual_ha!$D$2:$Z$85)</f>
        <v>42644.3269429681</v>
      </c>
      <c r="L7" s="7" t="n">
        <f aca="false">SUMPRODUCT((region_annual_ha!$A$2:$A$85=$A7)*(region_annual_ha!$B$2:$B$85="fors")*(region_annual_ha!$D$1:$Z$1&gt;=periods!$B$3)*(region_annual_ha!$D$1:$Z$1&lt;=periods!$C$3)*region_annual_ha!$D$2:$Z$85)</f>
        <v>19680.0013175274</v>
      </c>
      <c r="M7" s="7" t="n">
        <f aca="false">SUMPRODUCT((region_annual_ha!$A$2:$A$85=$A7)*(region_annual_ha!$B$2:$B$85="fors")*(region_annual_ha!$D$1:$Z$1&gt;=periods!$B$4)*(region_annual_ha!$D$1:$Z$1&lt;=periods!$C$4)*region_annual_ha!$D$2:$Z$85)</f>
        <v>75421.7550365324</v>
      </c>
      <c r="N7" s="7" t="n">
        <f aca="false">SUMPRODUCT((region_annual_ha!$A$2:$A$85=$A7)*(region_annual_ha!$B$2:$B$85="fors")*(region_annual_ha!$D$1:$Z$1&gt;=periods!$B$5)*(region_annual_ha!$D$1:$Z$1&lt;=periods!$C$5)*region_annual_ha!$D$2:$Z$85)</f>
        <v>52802.7806311931</v>
      </c>
      <c r="O7" s="7" t="n">
        <f aca="false">C7+G7+K7</f>
        <v>178584.544189312</v>
      </c>
      <c r="P7" s="7" t="n">
        <f aca="false">D7+H7+L7</f>
        <v>245504.616339902</v>
      </c>
      <c r="Q7" s="7" t="n">
        <f aca="false">E7+I7+M7</f>
        <v>219900.345621436</v>
      </c>
      <c r="R7" s="7" t="n">
        <f aca="false">F7+J7+N7</f>
        <v>112474.048975825</v>
      </c>
    </row>
    <row r="8" customFormat="false" ht="15" hidden="false" customHeight="false" outlineLevel="0" collapsed="false">
      <c r="A8" s="4" t="s">
        <v>41</v>
      </c>
      <c r="B8" s="4" t="s">
        <v>42</v>
      </c>
      <c r="C8" s="7" t="n">
        <f aca="false">SUMPRODUCT((region_annual_ha!$A$2:$A$85=$A8)*(region_annual_ha!$B$2:$B$85="crop")*(region_annual_ha!$D$1:$Z$1&gt;=periods!$B$2)*(region_annual_ha!$D$1:$Z$1&lt;=periods!$C$2)*region_annual_ha!$D$2:$Z$85)</f>
        <v>39030.0690746314</v>
      </c>
      <c r="D8" s="7" t="n">
        <f aca="false">SUMPRODUCT((region_annual_ha!$A$2:$A$85=$A8)*(region_annual_ha!$B$2:$B$85="crop")*(region_annual_ha!$D$1:$Z$1&gt;=periods!$B$3)*(region_annual_ha!$D$1:$Z$1&lt;=periods!$C$3)*region_annual_ha!$D$2:$Z$85)</f>
        <v>43580.6338815954</v>
      </c>
      <c r="E8" s="7" t="n">
        <f aca="false">SUMPRODUCT((region_annual_ha!$A$2:$A$85=$A8)*(region_annual_ha!$B$2:$B$85="crop")*(region_annual_ha!$D$1:$Z$1&gt;=periods!$B$4)*(region_annual_ha!$D$1:$Z$1&lt;=periods!$C$4)*region_annual_ha!$D$2:$Z$85)</f>
        <v>49229.8821716634</v>
      </c>
      <c r="F8" s="7" t="n">
        <f aca="false">SUMPRODUCT((region_annual_ha!$A$2:$A$85=$A8)*(region_annual_ha!$B$2:$B$85="crop")*(region_annual_ha!$D$1:$Z$1&gt;=periods!$B$5)*(region_annual_ha!$D$1:$Z$1&lt;=periods!$C$5)*region_annual_ha!$D$2:$Z$85)</f>
        <v>9134.15753001931</v>
      </c>
      <c r="G8" s="7" t="n">
        <f aca="false">SUMPRODUCT((region_annual_ha!$A$2:$A$85=$A8)*(region_annual_ha!$B$2:$B$85="live")*(region_annual_ha!$D$1:$Z$1&gt;=periods!$B$2)*(region_annual_ha!$D$1:$Z$1&lt;=periods!$C$2)*region_annual_ha!$D$2:$Z$85)</f>
        <v>13668.6913836453</v>
      </c>
      <c r="H8" s="7" t="n">
        <f aca="false">SUMPRODUCT((region_annual_ha!$A$2:$A$85=$A8)*(region_annual_ha!$B$2:$B$85="live")*(region_annual_ha!$D$1:$Z$1&gt;=periods!$B$3)*(region_annual_ha!$D$1:$Z$1&lt;=periods!$C$3)*region_annual_ha!$D$2:$Z$85)</f>
        <v>23133.214725953</v>
      </c>
      <c r="I8" s="7" t="n">
        <f aca="false">SUMPRODUCT((region_annual_ha!$A$2:$A$85=$A8)*(region_annual_ha!$B$2:$B$85="live")*(region_annual_ha!$D$1:$Z$1&gt;=periods!$B$4)*(region_annual_ha!$D$1:$Z$1&lt;=periods!$C$4)*region_annual_ha!$D$2:$Z$85)</f>
        <v>30911.6124736169</v>
      </c>
      <c r="J8" s="7" t="n">
        <f aca="false">SUMPRODUCT((region_annual_ha!$A$2:$A$85=$A8)*(region_annual_ha!$B$2:$B$85="live")*(region_annual_ha!$D$1:$Z$1&gt;=periods!$B$5)*(region_annual_ha!$D$1:$Z$1&lt;=periods!$C$5)*region_annual_ha!$D$2:$Z$85)</f>
        <v>13423.4805800352</v>
      </c>
      <c r="K8" s="7" t="n">
        <f aca="false">SUMPRODUCT((region_annual_ha!$A$2:$A$85=$A8)*(region_annual_ha!$B$2:$B$85="fors")*(region_annual_ha!$D$1:$Z$1&gt;=periods!$B$2)*(region_annual_ha!$D$1:$Z$1&lt;=periods!$C$2)*region_annual_ha!$D$2:$Z$85)</f>
        <v>61509.4138650909</v>
      </c>
      <c r="L8" s="7" t="n">
        <f aca="false">SUMPRODUCT((region_annual_ha!$A$2:$A$85=$A8)*(region_annual_ha!$B$2:$B$85="fors")*(region_annual_ha!$D$1:$Z$1&gt;=periods!$B$3)*(region_annual_ha!$D$1:$Z$1&lt;=periods!$C$3)*region_annual_ha!$D$2:$Z$85)</f>
        <v>29660.124687994</v>
      </c>
      <c r="M8" s="7" t="n">
        <f aca="false">SUMPRODUCT((region_annual_ha!$A$2:$A$85=$A8)*(region_annual_ha!$B$2:$B$85="fors")*(region_annual_ha!$D$1:$Z$1&gt;=periods!$B$4)*(region_annual_ha!$D$1:$Z$1&lt;=periods!$C$4)*region_annual_ha!$D$2:$Z$85)</f>
        <v>29618.3046676152</v>
      </c>
      <c r="N8" s="7" t="n">
        <f aca="false">SUMPRODUCT((region_annual_ha!$A$2:$A$85=$A8)*(region_annual_ha!$B$2:$B$85="fors")*(region_annual_ha!$D$1:$Z$1&gt;=periods!$B$5)*(region_annual_ha!$D$1:$Z$1&lt;=periods!$C$5)*region_annual_ha!$D$2:$Z$85)</f>
        <v>19498.1879488259</v>
      </c>
      <c r="O8" s="7" t="n">
        <f aca="false">C8+G8+K8</f>
        <v>114208.174323368</v>
      </c>
      <c r="P8" s="7" t="n">
        <f aca="false">D8+H8+L8</f>
        <v>96373.9732955424</v>
      </c>
      <c r="Q8" s="7" t="n">
        <f aca="false">E8+I8+M8</f>
        <v>109759.799312895</v>
      </c>
      <c r="R8" s="7" t="n">
        <f aca="false">F8+J8+N8</f>
        <v>42055.8260588804</v>
      </c>
    </row>
    <row r="9" customFormat="false" ht="15" hidden="false" customHeight="false" outlineLevel="0" collapsed="false">
      <c r="A9" s="4" t="s">
        <v>43</v>
      </c>
      <c r="B9" s="4" t="s">
        <v>44</v>
      </c>
      <c r="C9" s="7" t="n">
        <f aca="false">SUMPRODUCT((region_annual_ha!$A$2:$A$85=$A9)*(region_annual_ha!$B$2:$B$85="crop")*(region_annual_ha!$D$1:$Z$1&gt;=periods!$B$2)*(region_annual_ha!$D$1:$Z$1&lt;=periods!$C$2)*region_annual_ha!$D$2:$Z$85)</f>
        <v>7412.58805667997</v>
      </c>
      <c r="D9" s="7" t="n">
        <f aca="false">SUMPRODUCT((region_annual_ha!$A$2:$A$85=$A9)*(region_annual_ha!$B$2:$B$85="crop")*(region_annual_ha!$D$1:$Z$1&gt;=periods!$B$3)*(region_annual_ha!$D$1:$Z$1&lt;=periods!$C$3)*region_annual_ha!$D$2:$Z$85)</f>
        <v>16729.4368002084</v>
      </c>
      <c r="E9" s="7" t="n">
        <f aca="false">SUMPRODUCT((region_annual_ha!$A$2:$A$85=$A9)*(region_annual_ha!$B$2:$B$85="crop")*(region_annual_ha!$D$1:$Z$1&gt;=periods!$B$4)*(region_annual_ha!$D$1:$Z$1&lt;=periods!$C$4)*region_annual_ha!$D$2:$Z$85)</f>
        <v>28872.8039552083</v>
      </c>
      <c r="F9" s="7" t="n">
        <f aca="false">SUMPRODUCT((region_annual_ha!$A$2:$A$85=$A9)*(region_annual_ha!$B$2:$B$85="crop")*(region_annual_ha!$D$1:$Z$1&gt;=periods!$B$5)*(region_annual_ha!$D$1:$Z$1&lt;=periods!$C$5)*region_annual_ha!$D$2:$Z$85)</f>
        <v>2925.08951349</v>
      </c>
      <c r="G9" s="7" t="n">
        <f aca="false">SUMPRODUCT((region_annual_ha!$A$2:$A$85=$A9)*(region_annual_ha!$B$2:$B$85="live")*(region_annual_ha!$D$1:$Z$1&gt;=periods!$B$2)*(region_annual_ha!$D$1:$Z$1&lt;=periods!$C$2)*region_annual_ha!$D$2:$Z$85)</f>
        <v>3347.31710795385</v>
      </c>
      <c r="H9" s="7" t="n">
        <f aca="false">SUMPRODUCT((region_annual_ha!$A$2:$A$85=$A9)*(region_annual_ha!$B$2:$B$85="live")*(region_annual_ha!$D$1:$Z$1&gt;=periods!$B$3)*(region_annual_ha!$D$1:$Z$1&lt;=periods!$C$3)*region_annual_ha!$D$2:$Z$85)</f>
        <v>2287.14382756895</v>
      </c>
      <c r="I9" s="7" t="n">
        <f aca="false">SUMPRODUCT((region_annual_ha!$A$2:$A$85=$A9)*(region_annual_ha!$B$2:$B$85="live")*(region_annual_ha!$D$1:$Z$1&gt;=periods!$B$4)*(region_annual_ha!$D$1:$Z$1&lt;=periods!$C$4)*region_annual_ha!$D$2:$Z$85)</f>
        <v>2922.28904310024</v>
      </c>
      <c r="J9" s="7" t="n">
        <f aca="false">SUMPRODUCT((region_annual_ha!$A$2:$A$85=$A9)*(region_annual_ha!$B$2:$B$85="live")*(region_annual_ha!$D$1:$Z$1&gt;=periods!$B$5)*(region_annual_ha!$D$1:$Z$1&lt;=periods!$C$5)*region_annual_ha!$D$2:$Z$85)</f>
        <v>1697.55401640967</v>
      </c>
      <c r="K9" s="7" t="n">
        <f aca="false">SUMPRODUCT((region_annual_ha!$A$2:$A$85=$A9)*(region_annual_ha!$B$2:$B$85="fors")*(region_annual_ha!$D$1:$Z$1&gt;=periods!$B$2)*(region_annual_ha!$D$1:$Z$1&lt;=periods!$C$2)*region_annual_ha!$D$2:$Z$85)</f>
        <v>17374.7974861207</v>
      </c>
      <c r="L9" s="7" t="n">
        <f aca="false">SUMPRODUCT((region_annual_ha!$A$2:$A$85=$A9)*(region_annual_ha!$B$2:$B$85="fors")*(region_annual_ha!$D$1:$Z$1&gt;=periods!$B$3)*(region_annual_ha!$D$1:$Z$1&lt;=periods!$C$3)*region_annual_ha!$D$2:$Z$85)</f>
        <v>28618.1239434227</v>
      </c>
      <c r="M9" s="7" t="n">
        <f aca="false">SUMPRODUCT((region_annual_ha!$A$2:$A$85=$A9)*(region_annual_ha!$B$2:$B$85="fors")*(region_annual_ha!$D$1:$Z$1&gt;=periods!$B$4)*(region_annual_ha!$D$1:$Z$1&lt;=periods!$C$4)*region_annual_ha!$D$2:$Z$85)</f>
        <v>9426.83824257874</v>
      </c>
      <c r="N9" s="7" t="n">
        <f aca="false">SUMPRODUCT((region_annual_ha!$A$2:$A$85=$A9)*(region_annual_ha!$B$2:$B$85="fors")*(region_annual_ha!$D$1:$Z$1&gt;=periods!$B$5)*(region_annual_ha!$D$1:$Z$1&lt;=periods!$C$5)*region_annual_ha!$D$2:$Z$85)</f>
        <v>5209.70735628014</v>
      </c>
      <c r="O9" s="7" t="n">
        <f aca="false">C9+G9+K9</f>
        <v>28134.7026507546</v>
      </c>
      <c r="P9" s="7" t="n">
        <f aca="false">D9+H9+L9</f>
        <v>47634.7045712001</v>
      </c>
      <c r="Q9" s="7" t="n">
        <f aca="false">E9+I9+M9</f>
        <v>41221.9312408873</v>
      </c>
      <c r="R9" s="7" t="n">
        <f aca="false">F9+J9+N9</f>
        <v>9832.35088617981</v>
      </c>
    </row>
    <row r="10" customFormat="false" ht="15" hidden="false" customHeight="false" outlineLevel="0" collapsed="false">
      <c r="A10" s="4" t="s">
        <v>45</v>
      </c>
      <c r="B10" s="4" t="s">
        <v>46</v>
      </c>
      <c r="C10" s="7" t="n">
        <f aca="false">SUMPRODUCT((region_annual_ha!$A$2:$A$85=$A10)*(region_annual_ha!$B$2:$B$85="crop")*(region_annual_ha!$D$1:$Z$1&gt;=periods!$B$2)*(region_annual_ha!$D$1:$Z$1&lt;=periods!$C$2)*region_annual_ha!$D$2:$Z$85)</f>
        <v>19238.7104102517</v>
      </c>
      <c r="D10" s="7" t="n">
        <f aca="false">SUMPRODUCT((region_annual_ha!$A$2:$A$85=$A10)*(region_annual_ha!$B$2:$B$85="crop")*(region_annual_ha!$D$1:$Z$1&gt;=periods!$B$3)*(region_annual_ha!$D$1:$Z$1&lt;=periods!$C$3)*region_annual_ha!$D$2:$Z$85)</f>
        <v>32948.1949570304</v>
      </c>
      <c r="E10" s="7" t="n">
        <f aca="false">SUMPRODUCT((region_annual_ha!$A$2:$A$85=$A10)*(region_annual_ha!$B$2:$B$85="crop")*(region_annual_ha!$D$1:$Z$1&gt;=periods!$B$4)*(region_annual_ha!$D$1:$Z$1&lt;=periods!$C$4)*region_annual_ha!$D$2:$Z$85)</f>
        <v>24691.3467959979</v>
      </c>
      <c r="F10" s="7" t="n">
        <f aca="false">SUMPRODUCT((region_annual_ha!$A$2:$A$85=$A10)*(region_annual_ha!$B$2:$B$85="crop")*(region_annual_ha!$D$1:$Z$1&gt;=periods!$B$5)*(region_annual_ha!$D$1:$Z$1&lt;=periods!$C$5)*region_annual_ha!$D$2:$Z$85)</f>
        <v>3349.66047721892</v>
      </c>
      <c r="G10" s="7" t="n">
        <f aca="false">SUMPRODUCT((region_annual_ha!$A$2:$A$85=$A10)*(region_annual_ha!$B$2:$B$85="live")*(region_annual_ha!$D$1:$Z$1&gt;=periods!$B$2)*(region_annual_ha!$D$1:$Z$1&lt;=periods!$C$2)*region_annual_ha!$D$2:$Z$85)</f>
        <v>27971.4910914296</v>
      </c>
      <c r="H10" s="7" t="n">
        <f aca="false">SUMPRODUCT((region_annual_ha!$A$2:$A$85=$A10)*(region_annual_ha!$B$2:$B$85="live")*(region_annual_ha!$D$1:$Z$1&gt;=periods!$B$3)*(region_annual_ha!$D$1:$Z$1&lt;=periods!$C$3)*region_annual_ha!$D$2:$Z$85)</f>
        <v>49760.8948791479</v>
      </c>
      <c r="I10" s="7" t="n">
        <f aca="false">SUMPRODUCT((region_annual_ha!$A$2:$A$85=$A10)*(region_annual_ha!$B$2:$B$85="live")*(region_annual_ha!$D$1:$Z$1&gt;=periods!$B$4)*(region_annual_ha!$D$1:$Z$1&lt;=periods!$C$4)*region_annual_ha!$D$2:$Z$85)</f>
        <v>20189.3598829127</v>
      </c>
      <c r="J10" s="7" t="n">
        <f aca="false">SUMPRODUCT((region_annual_ha!$A$2:$A$85=$A10)*(region_annual_ha!$B$2:$B$85="live")*(region_annual_ha!$D$1:$Z$1&gt;=periods!$B$5)*(region_annual_ha!$D$1:$Z$1&lt;=periods!$C$5)*region_annual_ha!$D$2:$Z$85)</f>
        <v>5982.36163203476</v>
      </c>
      <c r="K10" s="7" t="n">
        <f aca="false">SUMPRODUCT((region_annual_ha!$A$2:$A$85=$A10)*(region_annual_ha!$B$2:$B$85="fors")*(region_annual_ha!$D$1:$Z$1&gt;=periods!$B$2)*(region_annual_ha!$D$1:$Z$1&lt;=periods!$C$2)*region_annual_ha!$D$2:$Z$85)</f>
        <v>0</v>
      </c>
      <c r="L10" s="7" t="n">
        <f aca="false">SUMPRODUCT((region_annual_ha!$A$2:$A$85=$A10)*(region_annual_ha!$B$2:$B$85="fors")*(region_annual_ha!$D$1:$Z$1&gt;=periods!$B$3)*(region_annual_ha!$D$1:$Z$1&lt;=periods!$C$3)*region_annual_ha!$D$2:$Z$85)</f>
        <v>0</v>
      </c>
      <c r="M10" s="7" t="n">
        <f aca="false">SUMPRODUCT((region_annual_ha!$A$2:$A$85=$A10)*(region_annual_ha!$B$2:$B$85="fors")*(region_annual_ha!$D$1:$Z$1&gt;=periods!$B$4)*(region_annual_ha!$D$1:$Z$1&lt;=periods!$C$4)*region_annual_ha!$D$2:$Z$85)</f>
        <v>0</v>
      </c>
      <c r="N10" s="7" t="n">
        <f aca="false">SUMPRODUCT((region_annual_ha!$A$2:$A$85=$A10)*(region_annual_ha!$B$2:$B$85="fors")*(region_annual_ha!$D$1:$Z$1&gt;=periods!$B$5)*(region_annual_ha!$D$1:$Z$1&lt;=periods!$C$5)*region_annual_ha!$D$2:$Z$85)</f>
        <v>0</v>
      </c>
      <c r="O10" s="7" t="n">
        <f aca="false">C10+G10+K10</f>
        <v>47210.2015016813</v>
      </c>
      <c r="P10" s="7" t="n">
        <f aca="false">D10+H10+L10</f>
        <v>82709.0898361783</v>
      </c>
      <c r="Q10" s="7" t="n">
        <f aca="false">E10+I10+M10</f>
        <v>44880.7066789107</v>
      </c>
      <c r="R10" s="7" t="n">
        <f aca="false">F10+J10+N10</f>
        <v>9332.02210925368</v>
      </c>
    </row>
    <row r="11" customFormat="false" ht="15" hidden="false" customHeight="false" outlineLevel="0" collapsed="false">
      <c r="A11" s="4" t="s">
        <v>47</v>
      </c>
      <c r="B11" s="4" t="s">
        <v>48</v>
      </c>
      <c r="C11" s="7" t="n">
        <f aca="false">SUMPRODUCT((region_annual_ha!$A$2:$A$85=$A11)*(region_annual_ha!$B$2:$B$85="crop")*(region_annual_ha!$D$1:$Z$1&gt;=periods!$B$2)*(region_annual_ha!$D$1:$Z$1&lt;=periods!$C$2)*region_annual_ha!$D$2:$Z$85)</f>
        <v>691883.131237865</v>
      </c>
      <c r="D11" s="7" t="n">
        <f aca="false">SUMPRODUCT((region_annual_ha!$A$2:$A$85=$A11)*(region_annual_ha!$B$2:$B$85="crop")*(region_annual_ha!$D$1:$Z$1&gt;=periods!$B$3)*(region_annual_ha!$D$1:$Z$1&lt;=periods!$C$3)*region_annual_ha!$D$2:$Z$85)</f>
        <v>1007031.67987007</v>
      </c>
      <c r="E11" s="7" t="n">
        <f aca="false">SUMPRODUCT((region_annual_ha!$A$2:$A$85=$A11)*(region_annual_ha!$B$2:$B$85="crop")*(region_annual_ha!$D$1:$Z$1&gt;=periods!$B$4)*(region_annual_ha!$D$1:$Z$1&lt;=periods!$C$4)*region_annual_ha!$D$2:$Z$85)</f>
        <v>951597.120534145</v>
      </c>
      <c r="F11" s="7" t="n">
        <f aca="false">SUMPRODUCT((region_annual_ha!$A$2:$A$85=$A11)*(region_annual_ha!$B$2:$B$85="crop")*(region_annual_ha!$D$1:$Z$1&gt;=periods!$B$5)*(region_annual_ha!$D$1:$Z$1&lt;=periods!$C$5)*region_annual_ha!$D$2:$Z$85)</f>
        <v>300035.721785324</v>
      </c>
      <c r="G11" s="7" t="n">
        <f aca="false">SUMPRODUCT((region_annual_ha!$A$2:$A$85=$A11)*(region_annual_ha!$B$2:$B$85="live")*(region_annual_ha!$D$1:$Z$1&gt;=periods!$B$2)*(region_annual_ha!$D$1:$Z$1&lt;=periods!$C$2)*region_annual_ha!$D$2:$Z$85)</f>
        <v>39408.248897671</v>
      </c>
      <c r="H11" s="7" t="n">
        <f aca="false">SUMPRODUCT((region_annual_ha!$A$2:$A$85=$A11)*(region_annual_ha!$B$2:$B$85="live")*(region_annual_ha!$D$1:$Z$1&gt;=periods!$B$3)*(region_annual_ha!$D$1:$Z$1&lt;=periods!$C$3)*region_annual_ha!$D$2:$Z$85)</f>
        <v>108068.606679638</v>
      </c>
      <c r="I11" s="7" t="n">
        <f aca="false">SUMPRODUCT((region_annual_ha!$A$2:$A$85=$A11)*(region_annual_ha!$B$2:$B$85="live")*(region_annual_ha!$D$1:$Z$1&gt;=periods!$B$4)*(region_annual_ha!$D$1:$Z$1&lt;=periods!$C$4)*region_annual_ha!$D$2:$Z$85)</f>
        <v>131818.990472327</v>
      </c>
      <c r="J11" s="7" t="n">
        <f aca="false">SUMPRODUCT((region_annual_ha!$A$2:$A$85=$A11)*(region_annual_ha!$B$2:$B$85="live")*(region_annual_ha!$D$1:$Z$1&gt;=periods!$B$5)*(region_annual_ha!$D$1:$Z$1&lt;=periods!$C$5)*region_annual_ha!$D$2:$Z$85)</f>
        <v>140466.517120922</v>
      </c>
      <c r="K11" s="7" t="n">
        <f aca="false">SUMPRODUCT((region_annual_ha!$A$2:$A$85=$A11)*(region_annual_ha!$B$2:$B$85="fors")*(region_annual_ha!$D$1:$Z$1&gt;=periods!$B$2)*(region_annual_ha!$D$1:$Z$1&lt;=periods!$C$2)*region_annual_ha!$D$2:$Z$85)</f>
        <v>104297.310956717</v>
      </c>
      <c r="L11" s="7" t="n">
        <f aca="false">SUMPRODUCT((region_annual_ha!$A$2:$A$85=$A11)*(region_annual_ha!$B$2:$B$85="fors")*(region_annual_ha!$D$1:$Z$1&gt;=periods!$B$3)*(region_annual_ha!$D$1:$Z$1&lt;=periods!$C$3)*region_annual_ha!$D$2:$Z$85)</f>
        <v>204878.51133485</v>
      </c>
      <c r="M11" s="7" t="n">
        <f aca="false">SUMPRODUCT((region_annual_ha!$A$2:$A$85=$A11)*(region_annual_ha!$B$2:$B$85="fors")*(region_annual_ha!$D$1:$Z$1&gt;=periods!$B$4)*(region_annual_ha!$D$1:$Z$1&lt;=periods!$C$4)*region_annual_ha!$D$2:$Z$85)</f>
        <v>12002.9556576799</v>
      </c>
      <c r="N11" s="7" t="n">
        <f aca="false">SUMPRODUCT((region_annual_ha!$A$2:$A$85=$A11)*(region_annual_ha!$B$2:$B$85="fors")*(region_annual_ha!$D$1:$Z$1&gt;=periods!$B$5)*(region_annual_ha!$D$1:$Z$1&lt;=periods!$C$5)*region_annual_ha!$D$2:$Z$85)</f>
        <v>4763.52763950787</v>
      </c>
      <c r="O11" s="7" t="n">
        <f aca="false">C11+G11+K11</f>
        <v>835588.691092253</v>
      </c>
      <c r="P11" s="7" t="n">
        <f aca="false">D11+H11+L11</f>
        <v>1319978.79788456</v>
      </c>
      <c r="Q11" s="7" t="n">
        <f aca="false">E11+I11+M11</f>
        <v>1095419.06666415</v>
      </c>
      <c r="R11" s="7" t="n">
        <f aca="false">F11+J11+N11</f>
        <v>445265.766545754</v>
      </c>
    </row>
    <row r="12" customFormat="false" ht="15" hidden="false" customHeight="false" outlineLevel="0" collapsed="false">
      <c r="A12" s="4" t="s">
        <v>49</v>
      </c>
      <c r="B12" s="4" t="s">
        <v>50</v>
      </c>
      <c r="C12" s="7" t="n">
        <f aca="false">SUMPRODUCT((region_annual_ha!$A$2:$A$85=$A12)*(region_annual_ha!$B$2:$B$85="crop")*(region_annual_ha!$D$1:$Z$1&gt;=periods!$B$2)*(region_annual_ha!$D$1:$Z$1&lt;=periods!$C$2)*region_annual_ha!$D$2:$Z$85)</f>
        <v>55994.186277105</v>
      </c>
      <c r="D12" s="7" t="n">
        <f aca="false">SUMPRODUCT((region_annual_ha!$A$2:$A$85=$A12)*(region_annual_ha!$B$2:$B$85="crop")*(region_annual_ha!$D$1:$Z$1&gt;=periods!$B$3)*(region_annual_ha!$D$1:$Z$1&lt;=periods!$C$3)*region_annual_ha!$D$2:$Z$85)</f>
        <v>66090.4051138026</v>
      </c>
      <c r="E12" s="7" t="n">
        <f aca="false">SUMPRODUCT((region_annual_ha!$A$2:$A$85=$A12)*(region_annual_ha!$B$2:$B$85="crop")*(region_annual_ha!$D$1:$Z$1&gt;=periods!$B$4)*(region_annual_ha!$D$1:$Z$1&lt;=periods!$C$4)*region_annual_ha!$D$2:$Z$85)</f>
        <v>149556.689458376</v>
      </c>
      <c r="F12" s="7" t="n">
        <f aca="false">SUMPRODUCT((region_annual_ha!$A$2:$A$85=$A12)*(region_annual_ha!$B$2:$B$85="crop")*(region_annual_ha!$D$1:$Z$1&gt;=periods!$B$5)*(region_annual_ha!$D$1:$Z$1&lt;=periods!$C$5)*region_annual_ha!$D$2:$Z$85)</f>
        <v>63870.9478976323</v>
      </c>
      <c r="G12" s="7" t="n">
        <f aca="false">SUMPRODUCT((region_annual_ha!$A$2:$A$85=$A12)*(region_annual_ha!$B$2:$B$85="live")*(region_annual_ha!$D$1:$Z$1&gt;=periods!$B$2)*(region_annual_ha!$D$1:$Z$1&lt;=periods!$C$2)*region_annual_ha!$D$2:$Z$85)</f>
        <v>149155.254730092</v>
      </c>
      <c r="H12" s="7" t="n">
        <f aca="false">SUMPRODUCT((region_annual_ha!$A$2:$A$85=$A12)*(region_annual_ha!$B$2:$B$85="live")*(region_annual_ha!$D$1:$Z$1&gt;=periods!$B$3)*(region_annual_ha!$D$1:$Z$1&lt;=periods!$C$3)*region_annual_ha!$D$2:$Z$85)</f>
        <v>243659.114995195</v>
      </c>
      <c r="I12" s="7" t="n">
        <f aca="false">SUMPRODUCT((region_annual_ha!$A$2:$A$85=$A12)*(region_annual_ha!$B$2:$B$85="live")*(region_annual_ha!$D$1:$Z$1&gt;=periods!$B$4)*(region_annual_ha!$D$1:$Z$1&lt;=periods!$C$4)*region_annual_ha!$D$2:$Z$85)</f>
        <v>196042.92166041</v>
      </c>
      <c r="J12" s="7" t="n">
        <f aca="false">SUMPRODUCT((region_annual_ha!$A$2:$A$85=$A12)*(region_annual_ha!$B$2:$B$85="live")*(region_annual_ha!$D$1:$Z$1&gt;=periods!$B$5)*(region_annual_ha!$D$1:$Z$1&lt;=periods!$C$5)*region_annual_ha!$D$2:$Z$85)</f>
        <v>68511.70908491</v>
      </c>
      <c r="K12" s="7" t="n">
        <f aca="false">SUMPRODUCT((region_annual_ha!$A$2:$A$85=$A12)*(region_annual_ha!$B$2:$B$85="fors")*(region_annual_ha!$D$1:$Z$1&gt;=periods!$B$2)*(region_annual_ha!$D$1:$Z$1&lt;=periods!$C$2)*region_annual_ha!$D$2:$Z$85)</f>
        <v>640570.000000002</v>
      </c>
      <c r="L12" s="7" t="n">
        <f aca="false">SUMPRODUCT((region_annual_ha!$A$2:$A$85=$A12)*(region_annual_ha!$B$2:$B$85="fors")*(region_annual_ha!$D$1:$Z$1&gt;=periods!$B$3)*(region_annual_ha!$D$1:$Z$1&lt;=periods!$C$3)*region_annual_ha!$D$2:$Z$85)</f>
        <v>1179147.74225895</v>
      </c>
      <c r="M12" s="7" t="n">
        <f aca="false">SUMPRODUCT((region_annual_ha!$A$2:$A$85=$A12)*(region_annual_ha!$B$2:$B$85="fors")*(region_annual_ha!$D$1:$Z$1&gt;=periods!$B$4)*(region_annual_ha!$D$1:$Z$1&lt;=periods!$C$4)*region_annual_ha!$D$2:$Z$85)</f>
        <v>1736812.57374506</v>
      </c>
      <c r="N12" s="7" t="n">
        <f aca="false">SUMPRODUCT((region_annual_ha!$A$2:$A$85=$A12)*(region_annual_ha!$B$2:$B$85="fors")*(region_annual_ha!$D$1:$Z$1&gt;=periods!$B$5)*(region_annual_ha!$D$1:$Z$1&lt;=periods!$C$5)*region_annual_ha!$D$2:$Z$85)</f>
        <v>1186109.26649419</v>
      </c>
      <c r="O12" s="7" t="n">
        <f aca="false">C12+G12+K12</f>
        <v>845719.4410072</v>
      </c>
      <c r="P12" s="7" t="n">
        <f aca="false">D12+H12+L12</f>
        <v>1488897.26236795</v>
      </c>
      <c r="Q12" s="7" t="n">
        <f aca="false">E12+I12+M12</f>
        <v>2082412.18486384</v>
      </c>
      <c r="R12" s="7" t="n">
        <f aca="false">F12+J12+N12</f>
        <v>1318491.92347673</v>
      </c>
    </row>
    <row r="13" customFormat="false" ht="15" hidden="false" customHeight="false" outlineLevel="0" collapsed="false">
      <c r="A13" s="4" t="s">
        <v>51</v>
      </c>
      <c r="B13" s="4" t="s">
        <v>52</v>
      </c>
      <c r="C13" s="7" t="n">
        <f aca="false">SUMPRODUCT((region_annual_ha!$A$2:$A$85=$A13)*(region_annual_ha!$B$2:$B$85="crop")*(region_annual_ha!$D$1:$Z$1&gt;=periods!$B$2)*(region_annual_ha!$D$1:$Z$1&lt;=periods!$C$2)*region_annual_ha!$D$2:$Z$85)</f>
        <v>98840.9121856123</v>
      </c>
      <c r="D13" s="7" t="n">
        <f aca="false">SUMPRODUCT((region_annual_ha!$A$2:$A$85=$A13)*(region_annual_ha!$B$2:$B$85="crop")*(region_annual_ha!$D$1:$Z$1&gt;=periods!$B$3)*(region_annual_ha!$D$1:$Z$1&lt;=periods!$C$3)*region_annual_ha!$D$2:$Z$85)</f>
        <v>203251.517252464</v>
      </c>
      <c r="E13" s="7" t="n">
        <f aca="false">SUMPRODUCT((region_annual_ha!$A$2:$A$85=$A13)*(region_annual_ha!$B$2:$B$85="crop")*(region_annual_ha!$D$1:$Z$1&gt;=periods!$B$4)*(region_annual_ha!$D$1:$Z$1&lt;=periods!$C$4)*region_annual_ha!$D$2:$Z$85)</f>
        <v>286791.624582573</v>
      </c>
      <c r="F13" s="7" t="n">
        <f aca="false">SUMPRODUCT((region_annual_ha!$A$2:$A$85=$A13)*(region_annual_ha!$B$2:$B$85="crop")*(region_annual_ha!$D$1:$Z$1&gt;=periods!$B$5)*(region_annual_ha!$D$1:$Z$1&lt;=periods!$C$5)*region_annual_ha!$D$2:$Z$85)</f>
        <v>345238.38260124</v>
      </c>
      <c r="G13" s="7" t="n">
        <f aca="false">SUMPRODUCT((region_annual_ha!$A$2:$A$85=$A13)*(region_annual_ha!$B$2:$B$85="live")*(region_annual_ha!$D$1:$Z$1&gt;=periods!$B$2)*(region_annual_ha!$D$1:$Z$1&lt;=periods!$C$2)*region_annual_ha!$D$2:$Z$85)</f>
        <v>28660.5799360812</v>
      </c>
      <c r="H13" s="7" t="n">
        <f aca="false">SUMPRODUCT((region_annual_ha!$A$2:$A$85=$A13)*(region_annual_ha!$B$2:$B$85="live")*(region_annual_ha!$D$1:$Z$1&gt;=periods!$B$3)*(region_annual_ha!$D$1:$Z$1&lt;=periods!$C$3)*region_annual_ha!$D$2:$Z$85)</f>
        <v>202247.813059895</v>
      </c>
      <c r="I13" s="7" t="n">
        <f aca="false">SUMPRODUCT((region_annual_ha!$A$2:$A$85=$A13)*(region_annual_ha!$B$2:$B$85="live")*(region_annual_ha!$D$1:$Z$1&gt;=periods!$B$4)*(region_annual_ha!$D$1:$Z$1&lt;=periods!$C$4)*region_annual_ha!$D$2:$Z$85)</f>
        <v>354611.623141185</v>
      </c>
      <c r="J13" s="7" t="n">
        <f aca="false">SUMPRODUCT((region_annual_ha!$A$2:$A$85=$A13)*(region_annual_ha!$B$2:$B$85="live")*(region_annual_ha!$D$1:$Z$1&gt;=periods!$B$5)*(region_annual_ha!$D$1:$Z$1&lt;=periods!$C$5)*region_annual_ha!$D$2:$Z$85)</f>
        <v>6770.55750854808</v>
      </c>
      <c r="K13" s="7" t="n">
        <f aca="false">SUMPRODUCT((region_annual_ha!$A$2:$A$85=$A13)*(region_annual_ha!$B$2:$B$85="fors")*(region_annual_ha!$D$1:$Z$1&gt;=periods!$B$2)*(region_annual_ha!$D$1:$Z$1&lt;=periods!$C$2)*region_annual_ha!$D$2:$Z$85)</f>
        <v>22911.4606356717</v>
      </c>
      <c r="L13" s="7" t="n">
        <f aca="false">SUMPRODUCT((region_annual_ha!$A$2:$A$85=$A13)*(region_annual_ha!$B$2:$B$85="fors")*(region_annual_ha!$D$1:$Z$1&gt;=periods!$B$3)*(region_annual_ha!$D$1:$Z$1&lt;=periods!$C$3)*region_annual_ha!$D$2:$Z$85)</f>
        <v>50965.5820539565</v>
      </c>
      <c r="M13" s="7" t="n">
        <f aca="false">SUMPRODUCT((region_annual_ha!$A$2:$A$85=$A13)*(region_annual_ha!$B$2:$B$85="fors")*(region_annual_ha!$D$1:$Z$1&gt;=periods!$B$4)*(region_annual_ha!$D$1:$Z$1&lt;=periods!$C$4)*region_annual_ha!$D$2:$Z$85)</f>
        <v>49700.2469682773</v>
      </c>
      <c r="N13" s="7" t="n">
        <f aca="false">SUMPRODUCT((region_annual_ha!$A$2:$A$85=$A13)*(region_annual_ha!$B$2:$B$85="fors")*(region_annual_ha!$D$1:$Z$1&gt;=periods!$B$5)*(region_annual_ha!$D$1:$Z$1&lt;=periods!$C$5)*region_annual_ha!$D$2:$Z$85)</f>
        <v>25678.5060001319</v>
      </c>
      <c r="O13" s="7" t="n">
        <f aca="false">C13+G13+K13</f>
        <v>150412.952757365</v>
      </c>
      <c r="P13" s="7" t="n">
        <f aca="false">D13+H13+L13</f>
        <v>456464.912366316</v>
      </c>
      <c r="Q13" s="7" t="n">
        <f aca="false">E13+I13+M13</f>
        <v>691103.494692035</v>
      </c>
      <c r="R13" s="7" t="n">
        <f aca="false">F13+J13+N13</f>
        <v>377687.44610992</v>
      </c>
    </row>
    <row r="14" customFormat="false" ht="15" hidden="false" customHeight="false" outlineLevel="0" collapsed="false">
      <c r="A14" s="4" t="s">
        <v>53</v>
      </c>
      <c r="B14" s="4" t="s">
        <v>54</v>
      </c>
      <c r="C14" s="7" t="n">
        <f aca="false">SUMPRODUCT((region_annual_ha!$A$2:$A$85=$A14)*(region_annual_ha!$B$2:$B$85="crop")*(region_annual_ha!$D$1:$Z$1&gt;=periods!$B$2)*(region_annual_ha!$D$1:$Z$1&lt;=periods!$C$2)*region_annual_ha!$D$2:$Z$85)</f>
        <v>661273.416206821</v>
      </c>
      <c r="D14" s="7" t="n">
        <f aca="false">SUMPRODUCT((region_annual_ha!$A$2:$A$85=$A14)*(region_annual_ha!$B$2:$B$85="crop")*(region_annual_ha!$D$1:$Z$1&gt;=periods!$B$3)*(region_annual_ha!$D$1:$Z$1&lt;=periods!$C$3)*region_annual_ha!$D$2:$Z$85)</f>
        <v>1139988.7494023</v>
      </c>
      <c r="E14" s="7" t="n">
        <f aca="false">SUMPRODUCT((region_annual_ha!$A$2:$A$85=$A14)*(region_annual_ha!$B$2:$B$85="crop")*(region_annual_ha!$D$1:$Z$1&gt;=periods!$B$4)*(region_annual_ha!$D$1:$Z$1&lt;=periods!$C$4)*region_annual_ha!$D$2:$Z$85)</f>
        <v>844178.007875169</v>
      </c>
      <c r="F14" s="7" t="n">
        <f aca="false">SUMPRODUCT((region_annual_ha!$A$2:$A$85=$A14)*(region_annual_ha!$B$2:$B$85="crop")*(region_annual_ha!$D$1:$Z$1&gt;=periods!$B$5)*(region_annual_ha!$D$1:$Z$1&lt;=periods!$C$5)*region_annual_ha!$D$2:$Z$85)</f>
        <v>417314.157526812</v>
      </c>
      <c r="G14" s="7" t="n">
        <f aca="false">SUMPRODUCT((region_annual_ha!$A$2:$A$85=$A14)*(region_annual_ha!$B$2:$B$85="live")*(region_annual_ha!$D$1:$Z$1&gt;=periods!$B$2)*(region_annual_ha!$D$1:$Z$1&lt;=periods!$C$2)*region_annual_ha!$D$2:$Z$85)</f>
        <v>3561684.73636299</v>
      </c>
      <c r="H14" s="7" t="n">
        <f aca="false">SUMPRODUCT((region_annual_ha!$A$2:$A$85=$A14)*(region_annual_ha!$B$2:$B$85="live")*(region_annual_ha!$D$1:$Z$1&gt;=periods!$B$3)*(region_annual_ha!$D$1:$Z$1&lt;=periods!$C$3)*region_annual_ha!$D$2:$Z$85)</f>
        <v>5115510.32909807</v>
      </c>
      <c r="I14" s="7" t="n">
        <f aca="false">SUMPRODUCT((region_annual_ha!$A$2:$A$85=$A14)*(region_annual_ha!$B$2:$B$85="live")*(region_annual_ha!$D$1:$Z$1&gt;=periods!$B$4)*(region_annual_ha!$D$1:$Z$1&lt;=periods!$C$4)*region_annual_ha!$D$2:$Z$85)</f>
        <v>7318692.41892618</v>
      </c>
      <c r="J14" s="7" t="n">
        <f aca="false">SUMPRODUCT((region_annual_ha!$A$2:$A$85=$A14)*(region_annual_ha!$B$2:$B$85="live")*(region_annual_ha!$D$1:$Z$1&gt;=periods!$B$5)*(region_annual_ha!$D$1:$Z$1&lt;=periods!$C$5)*region_annual_ha!$D$2:$Z$85)</f>
        <v>4410197.19764087</v>
      </c>
      <c r="K14" s="7" t="n">
        <f aca="false">SUMPRODUCT((region_annual_ha!$A$2:$A$85=$A14)*(region_annual_ha!$B$2:$B$85="fors")*(region_annual_ha!$D$1:$Z$1&gt;=periods!$B$2)*(region_annual_ha!$D$1:$Z$1&lt;=periods!$C$2)*region_annual_ha!$D$2:$Z$85)</f>
        <v>37515.2108843909</v>
      </c>
      <c r="L14" s="7" t="n">
        <f aca="false">SUMPRODUCT((region_annual_ha!$A$2:$A$85=$A14)*(region_annual_ha!$B$2:$B$85="fors")*(region_annual_ha!$D$1:$Z$1&gt;=periods!$B$3)*(region_annual_ha!$D$1:$Z$1&lt;=periods!$C$3)*region_annual_ha!$D$2:$Z$85)</f>
        <v>159408.148606028</v>
      </c>
      <c r="M14" s="7" t="n">
        <f aca="false">SUMPRODUCT((region_annual_ha!$A$2:$A$85=$A14)*(region_annual_ha!$B$2:$B$85="fors")*(region_annual_ha!$D$1:$Z$1&gt;=periods!$B$4)*(region_annual_ha!$D$1:$Z$1&lt;=periods!$C$4)*region_annual_ha!$D$2:$Z$85)</f>
        <v>239772.477628095</v>
      </c>
      <c r="N14" s="7" t="n">
        <f aca="false">SUMPRODUCT((region_annual_ha!$A$2:$A$85=$A14)*(region_annual_ha!$B$2:$B$85="fors")*(region_annual_ha!$D$1:$Z$1&gt;=periods!$B$5)*(region_annual_ha!$D$1:$Z$1&lt;=periods!$C$5)*region_annual_ha!$D$2:$Z$85)</f>
        <v>135510.059286613</v>
      </c>
      <c r="O14" s="7" t="n">
        <f aca="false">C14+G14+K14</f>
        <v>4260473.3634542</v>
      </c>
      <c r="P14" s="7" t="n">
        <f aca="false">D14+H14+L14</f>
        <v>6414907.22710639</v>
      </c>
      <c r="Q14" s="7" t="n">
        <f aca="false">E14+I14+M14</f>
        <v>8402642.90442945</v>
      </c>
      <c r="R14" s="7" t="n">
        <f aca="false">F14+J14+N14</f>
        <v>4963021.4144543</v>
      </c>
    </row>
    <row r="15" customFormat="false" ht="15" hidden="false" customHeight="false" outlineLevel="0" collapsed="false">
      <c r="A15" s="4" t="s">
        <v>55</v>
      </c>
      <c r="B15" s="4" t="s">
        <v>56</v>
      </c>
      <c r="C15" s="7" t="n">
        <f aca="false">SUMPRODUCT((region_annual_ha!$A$2:$A$85=$A15)*(region_annual_ha!$B$2:$B$85="crop")*(region_annual_ha!$D$1:$Z$1&gt;=periods!$B$2)*(region_annual_ha!$D$1:$Z$1&lt;=periods!$C$2)*region_annual_ha!$D$2:$Z$85)</f>
        <v>1317.18317736612</v>
      </c>
      <c r="D15" s="7" t="n">
        <f aca="false">SUMPRODUCT((region_annual_ha!$A$2:$A$85=$A15)*(region_annual_ha!$B$2:$B$85="crop")*(region_annual_ha!$D$1:$Z$1&gt;=periods!$B$3)*(region_annual_ha!$D$1:$Z$1&lt;=periods!$C$3)*region_annual_ha!$D$2:$Z$85)</f>
        <v>3122.66897150944</v>
      </c>
      <c r="E15" s="7" t="n">
        <f aca="false">SUMPRODUCT((region_annual_ha!$A$2:$A$85=$A15)*(region_annual_ha!$B$2:$B$85="crop")*(region_annual_ha!$D$1:$Z$1&gt;=periods!$B$4)*(region_annual_ha!$D$1:$Z$1&lt;=periods!$C$4)*region_annual_ha!$D$2:$Z$85)</f>
        <v>2023.67178363887</v>
      </c>
      <c r="F15" s="7" t="n">
        <f aca="false">SUMPRODUCT((region_annual_ha!$A$2:$A$85=$A15)*(region_annual_ha!$B$2:$B$85="crop")*(region_annual_ha!$D$1:$Z$1&gt;=periods!$B$5)*(region_annual_ha!$D$1:$Z$1&lt;=periods!$C$5)*region_annual_ha!$D$2:$Z$85)</f>
        <v>75.9968075009836</v>
      </c>
      <c r="G15" s="7" t="n">
        <f aca="false">SUMPRODUCT((region_annual_ha!$A$2:$A$85=$A15)*(region_annual_ha!$B$2:$B$85="live")*(region_annual_ha!$D$1:$Z$1&gt;=periods!$B$2)*(region_annual_ha!$D$1:$Z$1&lt;=periods!$C$2)*region_annual_ha!$D$2:$Z$85)</f>
        <v>173.312603432635</v>
      </c>
      <c r="H15" s="7" t="n">
        <f aca="false">SUMPRODUCT((region_annual_ha!$A$2:$A$85=$A15)*(region_annual_ha!$B$2:$B$85="live")*(region_annual_ha!$D$1:$Z$1&gt;=periods!$B$3)*(region_annual_ha!$D$1:$Z$1&lt;=periods!$C$3)*region_annual_ha!$D$2:$Z$85)</f>
        <v>152.598445056041</v>
      </c>
      <c r="I15" s="7" t="n">
        <f aca="false">SUMPRODUCT((region_annual_ha!$A$2:$A$85=$A15)*(region_annual_ha!$B$2:$B$85="live")*(region_annual_ha!$D$1:$Z$1&gt;=periods!$B$4)*(region_annual_ha!$D$1:$Z$1&lt;=periods!$C$4)*region_annual_ha!$D$2:$Z$85)</f>
        <v>87.9988264070923</v>
      </c>
      <c r="J15" s="7" t="n">
        <f aca="false">SUMPRODUCT((region_annual_ha!$A$2:$A$85=$A15)*(region_annual_ha!$B$2:$B$85="live")*(region_annual_ha!$D$1:$Z$1&gt;=periods!$B$5)*(region_annual_ha!$D$1:$Z$1&lt;=periods!$C$5)*region_annual_ha!$D$2:$Z$85)</f>
        <v>22.9867586222688</v>
      </c>
      <c r="K15" s="7" t="n">
        <f aca="false">SUMPRODUCT((region_annual_ha!$A$2:$A$85=$A15)*(region_annual_ha!$B$2:$B$85="fors")*(region_annual_ha!$D$1:$Z$1&gt;=periods!$B$2)*(region_annual_ha!$D$1:$Z$1&lt;=periods!$C$2)*region_annual_ha!$D$2:$Z$85)</f>
        <v>27.7734888338407</v>
      </c>
      <c r="L15" s="7" t="n">
        <f aca="false">SUMPRODUCT((region_annual_ha!$A$2:$A$85=$A15)*(region_annual_ha!$B$2:$B$85="fors")*(region_annual_ha!$D$1:$Z$1&gt;=periods!$B$3)*(region_annual_ha!$D$1:$Z$1&lt;=periods!$C$3)*region_annual_ha!$D$2:$Z$85)</f>
        <v>60.5299247382825</v>
      </c>
      <c r="M15" s="7" t="n">
        <f aca="false">SUMPRODUCT((region_annual_ha!$A$2:$A$85=$A15)*(region_annual_ha!$B$2:$B$85="fors")*(region_annual_ha!$D$1:$Z$1&gt;=periods!$B$4)*(region_annual_ha!$D$1:$Z$1&lt;=periods!$C$4)*region_annual_ha!$D$2:$Z$85)</f>
        <v>15.8945999523636</v>
      </c>
      <c r="N15" s="7" t="n">
        <f aca="false">SUMPRODUCT((region_annual_ha!$A$2:$A$85=$A15)*(region_annual_ha!$B$2:$B$85="fors")*(region_annual_ha!$D$1:$Z$1&gt;=periods!$B$5)*(region_annual_ha!$D$1:$Z$1&lt;=periods!$C$5)*region_annual_ha!$D$2:$Z$85)</f>
        <v>2.52817278694691</v>
      </c>
      <c r="O15" s="7" t="n">
        <f aca="false">C15+G15+K15</f>
        <v>1518.26926963259</v>
      </c>
      <c r="P15" s="7" t="n">
        <f aca="false">D15+H15+L15</f>
        <v>3335.79734130376</v>
      </c>
      <c r="Q15" s="7" t="n">
        <f aca="false">E15+I15+M15</f>
        <v>2127.56520999832</v>
      </c>
      <c r="R15" s="7" t="n">
        <f aca="false">F15+J15+N15</f>
        <v>101.511738910199</v>
      </c>
    </row>
    <row r="16" customFormat="false" ht="15" hidden="false" customHeight="false" outlineLevel="0" collapsed="false">
      <c r="A16" s="4" t="s">
        <v>57</v>
      </c>
      <c r="B16" s="4" t="s">
        <v>58</v>
      </c>
      <c r="C16" s="7" t="n">
        <f aca="false">SUMPRODUCT((region_annual_ha!$A$2:$A$85=$A16)*(region_annual_ha!$B$2:$B$85="crop")*(region_annual_ha!$D$1:$Z$1&gt;=periods!$B$2)*(region_annual_ha!$D$1:$Z$1&lt;=periods!$C$2)*region_annual_ha!$D$2:$Z$85)</f>
        <v>88198.6970018106</v>
      </c>
      <c r="D16" s="7" t="n">
        <f aca="false">SUMPRODUCT((region_annual_ha!$A$2:$A$85=$A16)*(region_annual_ha!$B$2:$B$85="crop")*(region_annual_ha!$D$1:$Z$1&gt;=periods!$B$3)*(region_annual_ha!$D$1:$Z$1&lt;=periods!$C$3)*region_annual_ha!$D$2:$Z$85)</f>
        <v>171948.576987604</v>
      </c>
      <c r="E16" s="7" t="n">
        <f aca="false">SUMPRODUCT((region_annual_ha!$A$2:$A$85=$A16)*(region_annual_ha!$B$2:$B$85="crop")*(region_annual_ha!$D$1:$Z$1&gt;=periods!$B$4)*(region_annual_ha!$D$1:$Z$1&lt;=periods!$C$4)*region_annual_ha!$D$2:$Z$85)</f>
        <v>195771.406132714</v>
      </c>
      <c r="F16" s="7" t="n">
        <f aca="false">SUMPRODUCT((region_annual_ha!$A$2:$A$85=$A16)*(region_annual_ha!$B$2:$B$85="crop")*(region_annual_ha!$D$1:$Z$1&gt;=periods!$B$5)*(region_annual_ha!$D$1:$Z$1&lt;=periods!$C$5)*region_annual_ha!$D$2:$Z$85)</f>
        <v>106302.038676458</v>
      </c>
      <c r="G16" s="7" t="n">
        <f aca="false">SUMPRODUCT((region_annual_ha!$A$2:$A$85=$A16)*(region_annual_ha!$B$2:$B$85="live")*(region_annual_ha!$D$1:$Z$1&gt;=periods!$B$2)*(region_annual_ha!$D$1:$Z$1&lt;=periods!$C$2)*region_annual_ha!$D$2:$Z$85)</f>
        <v>25384.758542122</v>
      </c>
      <c r="H16" s="7" t="n">
        <f aca="false">SUMPRODUCT((region_annual_ha!$A$2:$A$85=$A16)*(region_annual_ha!$B$2:$B$85="live")*(region_annual_ha!$D$1:$Z$1&gt;=periods!$B$3)*(region_annual_ha!$D$1:$Z$1&lt;=periods!$C$3)*region_annual_ha!$D$2:$Z$85)</f>
        <v>171069.627238309</v>
      </c>
      <c r="I16" s="7" t="n">
        <f aca="false">SUMPRODUCT((region_annual_ha!$A$2:$A$85=$A16)*(region_annual_ha!$B$2:$B$85="live")*(region_annual_ha!$D$1:$Z$1&gt;=periods!$B$4)*(region_annual_ha!$D$1:$Z$1&lt;=periods!$C$4)*region_annual_ha!$D$2:$Z$85)</f>
        <v>65568.6237180696</v>
      </c>
      <c r="J16" s="7" t="n">
        <f aca="false">SUMPRODUCT((region_annual_ha!$A$2:$A$85=$A16)*(region_annual_ha!$B$2:$B$85="live")*(region_annual_ha!$D$1:$Z$1&gt;=periods!$B$5)*(region_annual_ha!$D$1:$Z$1&lt;=periods!$C$5)*region_annual_ha!$D$2:$Z$85)</f>
        <v>11318.1165740498</v>
      </c>
      <c r="K16" s="7" t="n">
        <f aca="false">SUMPRODUCT((region_annual_ha!$A$2:$A$85=$A16)*(region_annual_ha!$B$2:$B$85="fors")*(region_annual_ha!$D$1:$Z$1&gt;=periods!$B$2)*(region_annual_ha!$D$1:$Z$1&lt;=periods!$C$2)*region_annual_ha!$D$2:$Z$85)</f>
        <v>3178.15917485701</v>
      </c>
      <c r="L16" s="7" t="n">
        <f aca="false">SUMPRODUCT((region_annual_ha!$A$2:$A$85=$A16)*(region_annual_ha!$B$2:$B$85="fors")*(region_annual_ha!$D$1:$Z$1&gt;=periods!$B$3)*(region_annual_ha!$D$1:$Z$1&lt;=periods!$C$3)*region_annual_ha!$D$2:$Z$85)</f>
        <v>12351.8295538971</v>
      </c>
      <c r="M16" s="7" t="n">
        <f aca="false">SUMPRODUCT((region_annual_ha!$A$2:$A$85=$A16)*(region_annual_ha!$B$2:$B$85="fors")*(region_annual_ha!$D$1:$Z$1&gt;=periods!$B$4)*(region_annual_ha!$D$1:$Z$1&lt;=periods!$C$4)*region_annual_ha!$D$2:$Z$85)</f>
        <v>6528.7747391972</v>
      </c>
      <c r="N16" s="7" t="n">
        <f aca="false">SUMPRODUCT((region_annual_ha!$A$2:$A$85=$A16)*(region_annual_ha!$B$2:$B$85="fors")*(region_annual_ha!$D$1:$Z$1&gt;=periods!$B$5)*(region_annual_ha!$D$1:$Z$1&lt;=periods!$C$5)*region_annual_ha!$D$2:$Z$85)</f>
        <v>2875.70277250992</v>
      </c>
      <c r="O16" s="7" t="n">
        <f aca="false">C16+G16+K16</f>
        <v>116761.61471879</v>
      </c>
      <c r="P16" s="7" t="n">
        <f aca="false">D16+H16+L16</f>
        <v>355370.03377981</v>
      </c>
      <c r="Q16" s="7" t="n">
        <f aca="false">E16+I16+M16</f>
        <v>267868.804589981</v>
      </c>
      <c r="R16" s="7" t="n">
        <f aca="false">F16+J16+N16</f>
        <v>120495.858023018</v>
      </c>
    </row>
    <row r="17" customFormat="false" ht="15" hidden="false" customHeight="false" outlineLevel="0" collapsed="false">
      <c r="A17" s="4" t="s">
        <v>59</v>
      </c>
      <c r="B17" s="4" t="s">
        <v>60</v>
      </c>
      <c r="C17" s="7" t="n">
        <f aca="false">SUMPRODUCT((region_annual_ha!$A$2:$A$85=$A17)*(region_annual_ha!$B$2:$B$85="crop")*(region_annual_ha!$D$1:$Z$1&gt;=periods!$B$2)*(region_annual_ha!$D$1:$Z$1&lt;=periods!$C$2)*region_annual_ha!$D$2:$Z$85)</f>
        <v>7354.51738187722</v>
      </c>
      <c r="D17" s="7" t="n">
        <f aca="false">SUMPRODUCT((region_annual_ha!$A$2:$A$85=$A17)*(region_annual_ha!$B$2:$B$85="crop")*(region_annual_ha!$D$1:$Z$1&gt;=periods!$B$3)*(region_annual_ha!$D$1:$Z$1&lt;=periods!$C$3)*region_annual_ha!$D$2:$Z$85)</f>
        <v>20554.6703191949</v>
      </c>
      <c r="E17" s="7" t="n">
        <f aca="false">SUMPRODUCT((region_annual_ha!$A$2:$A$85=$A17)*(region_annual_ha!$B$2:$B$85="crop")*(region_annual_ha!$D$1:$Z$1&gt;=periods!$B$4)*(region_annual_ha!$D$1:$Z$1&lt;=periods!$C$4)*region_annual_ha!$D$2:$Z$85)</f>
        <v>52156.4781493671</v>
      </c>
      <c r="F17" s="7" t="n">
        <f aca="false">SUMPRODUCT((region_annual_ha!$A$2:$A$85=$A17)*(region_annual_ha!$B$2:$B$85="crop")*(region_annual_ha!$D$1:$Z$1&gt;=periods!$B$5)*(region_annual_ha!$D$1:$Z$1&lt;=periods!$C$5)*region_annual_ha!$D$2:$Z$85)</f>
        <v>7855.54756492033</v>
      </c>
      <c r="G17" s="7" t="n">
        <f aca="false">SUMPRODUCT((region_annual_ha!$A$2:$A$85=$A17)*(region_annual_ha!$B$2:$B$85="live")*(region_annual_ha!$D$1:$Z$1&gt;=periods!$B$2)*(region_annual_ha!$D$1:$Z$1&lt;=periods!$C$2)*region_annual_ha!$D$2:$Z$85)</f>
        <v>26276.9251787431</v>
      </c>
      <c r="H17" s="7" t="n">
        <f aca="false">SUMPRODUCT((region_annual_ha!$A$2:$A$85=$A17)*(region_annual_ha!$B$2:$B$85="live")*(region_annual_ha!$D$1:$Z$1&gt;=periods!$B$3)*(region_annual_ha!$D$1:$Z$1&lt;=periods!$C$3)*region_annual_ha!$D$2:$Z$85)</f>
        <v>21178.6016681878</v>
      </c>
      <c r="I17" s="7" t="n">
        <f aca="false">SUMPRODUCT((region_annual_ha!$A$2:$A$85=$A17)*(region_annual_ha!$B$2:$B$85="live")*(region_annual_ha!$D$1:$Z$1&gt;=periods!$B$4)*(region_annual_ha!$D$1:$Z$1&lt;=periods!$C$4)*region_annual_ha!$D$2:$Z$85)</f>
        <v>18786.8542089724</v>
      </c>
      <c r="J17" s="7" t="n">
        <f aca="false">SUMPRODUCT((region_annual_ha!$A$2:$A$85=$A17)*(region_annual_ha!$B$2:$B$85="live")*(region_annual_ha!$D$1:$Z$1&gt;=periods!$B$5)*(region_annual_ha!$D$1:$Z$1&lt;=periods!$C$5)*region_annual_ha!$D$2:$Z$85)</f>
        <v>6016.38902208819</v>
      </c>
      <c r="K17" s="7" t="n">
        <f aca="false">SUMPRODUCT((region_annual_ha!$A$2:$A$85=$A17)*(region_annual_ha!$B$2:$B$85="fors")*(region_annual_ha!$D$1:$Z$1&gt;=periods!$B$2)*(region_annual_ha!$D$1:$Z$1&lt;=periods!$C$2)*region_annual_ha!$D$2:$Z$85)</f>
        <v>0</v>
      </c>
      <c r="L17" s="7" t="n">
        <f aca="false">SUMPRODUCT((region_annual_ha!$A$2:$A$85=$A17)*(region_annual_ha!$B$2:$B$85="fors")*(region_annual_ha!$D$1:$Z$1&gt;=periods!$B$3)*(region_annual_ha!$D$1:$Z$1&lt;=periods!$C$3)*region_annual_ha!$D$2:$Z$85)</f>
        <v>0</v>
      </c>
      <c r="M17" s="7" t="n">
        <f aca="false">SUMPRODUCT((region_annual_ha!$A$2:$A$85=$A17)*(region_annual_ha!$B$2:$B$85="fors")*(region_annual_ha!$D$1:$Z$1&gt;=periods!$B$4)*(region_annual_ha!$D$1:$Z$1&lt;=periods!$C$4)*region_annual_ha!$D$2:$Z$85)</f>
        <v>0</v>
      </c>
      <c r="N17" s="7" t="n">
        <f aca="false">SUMPRODUCT((region_annual_ha!$A$2:$A$85=$A17)*(region_annual_ha!$B$2:$B$85="fors")*(region_annual_ha!$D$1:$Z$1&gt;=periods!$B$5)*(region_annual_ha!$D$1:$Z$1&lt;=periods!$C$5)*region_annual_ha!$D$2:$Z$85)</f>
        <v>0</v>
      </c>
      <c r="O17" s="7" t="n">
        <f aca="false">C17+G17+K17</f>
        <v>33631.4425606203</v>
      </c>
      <c r="P17" s="7" t="n">
        <f aca="false">D17+H17+L17</f>
        <v>41733.2719873828</v>
      </c>
      <c r="Q17" s="7" t="n">
        <f aca="false">E17+I17+M17</f>
        <v>70943.3323583395</v>
      </c>
      <c r="R17" s="7" t="n">
        <f aca="false">F17+J17+N17</f>
        <v>13871.9365870085</v>
      </c>
    </row>
    <row r="18" customFormat="false" ht="15" hidden="false" customHeight="false" outlineLevel="0" collapsed="false">
      <c r="A18" s="4" t="s">
        <v>61</v>
      </c>
      <c r="B18" s="4" t="s">
        <v>62</v>
      </c>
      <c r="C18" s="7" t="n">
        <f aca="false">SUMPRODUCT((region_annual_ha!$A$2:$A$85=$A18)*(region_annual_ha!$B$2:$B$85="crop")*(region_annual_ha!$D$1:$Z$1&gt;=periods!$B$2)*(region_annual_ha!$D$1:$Z$1&lt;=periods!$C$2)*region_annual_ha!$D$2:$Z$85)</f>
        <v>459852.314053306</v>
      </c>
      <c r="D18" s="7" t="n">
        <f aca="false">SUMPRODUCT((region_annual_ha!$A$2:$A$85=$A18)*(region_annual_ha!$B$2:$B$85="crop")*(region_annual_ha!$D$1:$Z$1&gt;=periods!$B$3)*(region_annual_ha!$D$1:$Z$1&lt;=periods!$C$3)*region_annual_ha!$D$2:$Z$85)</f>
        <v>654988.944001764</v>
      </c>
      <c r="E18" s="7" t="n">
        <f aca="false">SUMPRODUCT((region_annual_ha!$A$2:$A$85=$A18)*(region_annual_ha!$B$2:$B$85="crop")*(region_annual_ha!$D$1:$Z$1&gt;=periods!$B$4)*(region_annual_ha!$D$1:$Z$1&lt;=periods!$C$4)*region_annual_ha!$D$2:$Z$85)</f>
        <v>495879.339301044</v>
      </c>
      <c r="F18" s="7" t="n">
        <f aca="false">SUMPRODUCT((region_annual_ha!$A$2:$A$85=$A18)*(region_annual_ha!$B$2:$B$85="crop")*(region_annual_ha!$D$1:$Z$1&gt;=periods!$B$5)*(region_annual_ha!$D$1:$Z$1&lt;=periods!$C$5)*region_annual_ha!$D$2:$Z$85)</f>
        <v>213529.083896938</v>
      </c>
      <c r="G18" s="7" t="n">
        <f aca="false">SUMPRODUCT((region_annual_ha!$A$2:$A$85=$A18)*(region_annual_ha!$B$2:$B$85="live")*(region_annual_ha!$D$1:$Z$1&gt;=periods!$B$2)*(region_annual_ha!$D$1:$Z$1&lt;=periods!$C$2)*region_annual_ha!$D$2:$Z$85)</f>
        <v>139346.745161469</v>
      </c>
      <c r="H18" s="7" t="n">
        <f aca="false">SUMPRODUCT((region_annual_ha!$A$2:$A$85=$A18)*(region_annual_ha!$B$2:$B$85="live")*(region_annual_ha!$D$1:$Z$1&gt;=periods!$B$3)*(region_annual_ha!$D$1:$Z$1&lt;=periods!$C$3)*region_annual_ha!$D$2:$Z$85)</f>
        <v>144198.613779334</v>
      </c>
      <c r="I18" s="7" t="n">
        <f aca="false">SUMPRODUCT((region_annual_ha!$A$2:$A$85=$A18)*(region_annual_ha!$B$2:$B$85="live")*(region_annual_ha!$D$1:$Z$1&gt;=periods!$B$4)*(region_annual_ha!$D$1:$Z$1&lt;=periods!$C$4)*region_annual_ha!$D$2:$Z$85)</f>
        <v>260197.259053832</v>
      </c>
      <c r="J18" s="7" t="n">
        <f aca="false">SUMPRODUCT((region_annual_ha!$A$2:$A$85=$A18)*(region_annual_ha!$B$2:$B$85="live")*(region_annual_ha!$D$1:$Z$1&gt;=periods!$B$5)*(region_annual_ha!$D$1:$Z$1&lt;=periods!$C$5)*region_annual_ha!$D$2:$Z$85)</f>
        <v>203077.872648236</v>
      </c>
      <c r="K18" s="7" t="n">
        <f aca="false">SUMPRODUCT((region_annual_ha!$A$2:$A$85=$A18)*(region_annual_ha!$B$2:$B$85="fors")*(region_annual_ha!$D$1:$Z$1&gt;=periods!$B$2)*(region_annual_ha!$D$1:$Z$1&lt;=periods!$C$2)*region_annual_ha!$D$2:$Z$85)</f>
        <v>3758.92866130059</v>
      </c>
      <c r="L18" s="7" t="n">
        <f aca="false">SUMPRODUCT((region_annual_ha!$A$2:$A$85=$A18)*(region_annual_ha!$B$2:$B$85="fors")*(region_annual_ha!$D$1:$Z$1&gt;=periods!$B$3)*(region_annual_ha!$D$1:$Z$1&lt;=periods!$C$3)*region_annual_ha!$D$2:$Z$85)</f>
        <v>6301.08233981551</v>
      </c>
      <c r="M18" s="7" t="n">
        <f aca="false">SUMPRODUCT((region_annual_ha!$A$2:$A$85=$A18)*(region_annual_ha!$B$2:$B$85="fors")*(region_annual_ha!$D$1:$Z$1&gt;=periods!$B$4)*(region_annual_ha!$D$1:$Z$1&lt;=periods!$C$4)*region_annual_ha!$D$2:$Z$85)</f>
        <v>12053.0665832343</v>
      </c>
      <c r="N18" s="7" t="n">
        <f aca="false">SUMPRODUCT((region_annual_ha!$A$2:$A$85=$A18)*(region_annual_ha!$B$2:$B$85="fors")*(region_annual_ha!$D$1:$Z$1&gt;=periods!$B$5)*(region_annual_ha!$D$1:$Z$1&lt;=periods!$C$5)*region_annual_ha!$D$2:$Z$85)</f>
        <v>8335.59121695948</v>
      </c>
      <c r="O18" s="7" t="n">
        <f aca="false">C18+G18+K18</f>
        <v>602957.987876075</v>
      </c>
      <c r="P18" s="7" t="n">
        <f aca="false">D18+H18+L18</f>
        <v>805488.640120914</v>
      </c>
      <c r="Q18" s="7" t="n">
        <f aca="false">E18+I18+M18</f>
        <v>768129.66493811</v>
      </c>
      <c r="R18" s="7" t="n">
        <f aca="false">F18+J18+N18</f>
        <v>424942.547762134</v>
      </c>
    </row>
    <row r="19" customFormat="false" ht="15" hidden="false" customHeight="false" outlineLevel="0" collapsed="false">
      <c r="A19" s="4" t="s">
        <v>63</v>
      </c>
      <c r="B19" s="4" t="s">
        <v>64</v>
      </c>
      <c r="C19" s="7" t="n">
        <f aca="false">SUMPRODUCT((region_annual_ha!$A$2:$A$85=$A19)*(region_annual_ha!$B$2:$B$85="crop")*(region_annual_ha!$D$1:$Z$1&gt;=periods!$B$2)*(region_annual_ha!$D$1:$Z$1&lt;=periods!$C$2)*region_annual_ha!$D$2:$Z$85)</f>
        <v>46272.5650630209</v>
      </c>
      <c r="D19" s="7" t="n">
        <f aca="false">SUMPRODUCT((region_annual_ha!$A$2:$A$85=$A19)*(region_annual_ha!$B$2:$B$85="crop")*(region_annual_ha!$D$1:$Z$1&gt;=periods!$B$3)*(region_annual_ha!$D$1:$Z$1&lt;=periods!$C$3)*region_annual_ha!$D$2:$Z$85)</f>
        <v>130795.937983776</v>
      </c>
      <c r="E19" s="7" t="n">
        <f aca="false">SUMPRODUCT((region_annual_ha!$A$2:$A$85=$A19)*(region_annual_ha!$B$2:$B$85="crop")*(region_annual_ha!$D$1:$Z$1&gt;=periods!$B$4)*(region_annual_ha!$D$1:$Z$1&lt;=periods!$C$4)*region_annual_ha!$D$2:$Z$85)</f>
        <v>109842.479725117</v>
      </c>
      <c r="F19" s="7" t="n">
        <f aca="false">SUMPRODUCT((region_annual_ha!$A$2:$A$85=$A19)*(region_annual_ha!$B$2:$B$85="crop")*(region_annual_ha!$D$1:$Z$1&gt;=periods!$B$5)*(region_annual_ha!$D$1:$Z$1&lt;=periods!$C$5)*region_annual_ha!$D$2:$Z$85)</f>
        <v>59627.1431302801</v>
      </c>
      <c r="G19" s="7" t="n">
        <f aca="false">SUMPRODUCT((region_annual_ha!$A$2:$A$85=$A19)*(region_annual_ha!$B$2:$B$85="live")*(region_annual_ha!$D$1:$Z$1&gt;=periods!$B$2)*(region_annual_ha!$D$1:$Z$1&lt;=periods!$C$2)*region_annual_ha!$D$2:$Z$85)</f>
        <v>8970.17993343055</v>
      </c>
      <c r="H19" s="7" t="n">
        <f aca="false">SUMPRODUCT((region_annual_ha!$A$2:$A$85=$A19)*(region_annual_ha!$B$2:$B$85="live")*(region_annual_ha!$D$1:$Z$1&gt;=periods!$B$3)*(region_annual_ha!$D$1:$Z$1&lt;=periods!$C$3)*region_annual_ha!$D$2:$Z$85)</f>
        <v>6513.70892765453</v>
      </c>
      <c r="I19" s="7" t="n">
        <f aca="false">SUMPRODUCT((region_annual_ha!$A$2:$A$85=$A19)*(region_annual_ha!$B$2:$B$85="live")*(region_annual_ha!$D$1:$Z$1&gt;=periods!$B$4)*(region_annual_ha!$D$1:$Z$1&lt;=periods!$C$4)*region_annual_ha!$D$2:$Z$85)</f>
        <v>24180.7310480693</v>
      </c>
      <c r="J19" s="7" t="n">
        <f aca="false">SUMPRODUCT((region_annual_ha!$A$2:$A$85=$A19)*(region_annual_ha!$B$2:$B$85="live")*(region_annual_ha!$D$1:$Z$1&gt;=periods!$B$5)*(region_annual_ha!$D$1:$Z$1&lt;=periods!$C$5)*region_annual_ha!$D$2:$Z$85)</f>
        <v>36022.7895889861</v>
      </c>
      <c r="K19" s="7" t="n">
        <f aca="false">SUMPRODUCT((region_annual_ha!$A$2:$A$85=$A19)*(region_annual_ha!$B$2:$B$85="fors")*(region_annual_ha!$D$1:$Z$1&gt;=periods!$B$2)*(region_annual_ha!$D$1:$Z$1&lt;=periods!$C$2)*region_annual_ha!$D$2:$Z$85)</f>
        <v>416.511176088843</v>
      </c>
      <c r="L19" s="7" t="n">
        <f aca="false">SUMPRODUCT((region_annual_ha!$A$2:$A$85=$A19)*(region_annual_ha!$B$2:$B$85="fors")*(region_annual_ha!$D$1:$Z$1&gt;=periods!$B$3)*(region_annual_ha!$D$1:$Z$1&lt;=periods!$C$3)*region_annual_ha!$D$2:$Z$85)</f>
        <v>2462.9381269859</v>
      </c>
      <c r="M19" s="7" t="n">
        <f aca="false">SUMPRODUCT((region_annual_ha!$A$2:$A$85=$A19)*(region_annual_ha!$B$2:$B$85="fors")*(region_annual_ha!$D$1:$Z$1&gt;=periods!$B$4)*(region_annual_ha!$D$1:$Z$1&lt;=periods!$C$4)*region_annual_ha!$D$2:$Z$85)</f>
        <v>2782.25366717488</v>
      </c>
      <c r="N19" s="7" t="n">
        <f aca="false">SUMPRODUCT((region_annual_ha!$A$2:$A$85=$A19)*(region_annual_ha!$B$2:$B$85="fors")*(region_annual_ha!$D$1:$Z$1&gt;=periods!$B$5)*(region_annual_ha!$D$1:$Z$1&lt;=periods!$C$5)*region_annual_ha!$D$2:$Z$85)</f>
        <v>1932.13549567576</v>
      </c>
      <c r="O19" s="7" t="n">
        <f aca="false">C19+G19+K19</f>
        <v>55659.2561725403</v>
      </c>
      <c r="P19" s="7" t="n">
        <f aca="false">D19+H19+L19</f>
        <v>139772.585038416</v>
      </c>
      <c r="Q19" s="7" t="n">
        <f aca="false">E19+I19+M19</f>
        <v>136805.464440361</v>
      </c>
      <c r="R19" s="7" t="n">
        <f aca="false">F19+J19+N19</f>
        <v>97582.068214942</v>
      </c>
    </row>
    <row r="20" customFormat="false" ht="15" hidden="false" customHeight="false" outlineLevel="0" collapsed="false">
      <c r="A20" s="4" t="s">
        <v>65</v>
      </c>
      <c r="B20" s="4" t="s">
        <v>66</v>
      </c>
      <c r="C20" s="7" t="n">
        <f aca="false">SUMPRODUCT((region_annual_ha!$A$2:$A$85=$A20)*(region_annual_ha!$B$2:$B$85="crop")*(region_annual_ha!$D$1:$Z$1&gt;=periods!$B$2)*(region_annual_ha!$D$1:$Z$1&lt;=periods!$C$2)*region_annual_ha!$D$2:$Z$85)</f>
        <v>1986278.32182995</v>
      </c>
      <c r="D20" s="7" t="n">
        <f aca="false">SUMPRODUCT((region_annual_ha!$A$2:$A$85=$A20)*(region_annual_ha!$B$2:$B$85="crop")*(region_annual_ha!$D$1:$Z$1&gt;=periods!$B$3)*(region_annual_ha!$D$1:$Z$1&lt;=periods!$C$3)*region_annual_ha!$D$2:$Z$85)</f>
        <v>2445087.70036268</v>
      </c>
      <c r="E20" s="7" t="n">
        <f aca="false">SUMPRODUCT((region_annual_ha!$A$2:$A$85=$A20)*(region_annual_ha!$B$2:$B$85="crop")*(region_annual_ha!$D$1:$Z$1&gt;=periods!$B$4)*(region_annual_ha!$D$1:$Z$1&lt;=periods!$C$4)*region_annual_ha!$D$2:$Z$85)</f>
        <v>1830888.45345162</v>
      </c>
      <c r="F20" s="7" t="n">
        <f aca="false">SUMPRODUCT((region_annual_ha!$A$2:$A$85=$A20)*(region_annual_ha!$B$2:$B$85="crop")*(region_annual_ha!$D$1:$Z$1&gt;=periods!$B$5)*(region_annual_ha!$D$1:$Z$1&lt;=periods!$C$5)*region_annual_ha!$D$2:$Z$85)</f>
        <v>1669833.08253074</v>
      </c>
      <c r="G20" s="7" t="n">
        <f aca="false">SUMPRODUCT((region_annual_ha!$A$2:$A$85=$A20)*(region_annual_ha!$B$2:$B$85="live")*(region_annual_ha!$D$1:$Z$1&gt;=periods!$B$2)*(region_annual_ha!$D$1:$Z$1&lt;=periods!$C$2)*region_annual_ha!$D$2:$Z$85)</f>
        <v>32687.716069767</v>
      </c>
      <c r="H20" s="7" t="n">
        <f aca="false">SUMPRODUCT((region_annual_ha!$A$2:$A$85=$A20)*(region_annual_ha!$B$2:$B$85="live")*(region_annual_ha!$D$1:$Z$1&gt;=periods!$B$3)*(region_annual_ha!$D$1:$Z$1&lt;=periods!$C$3)*region_annual_ha!$D$2:$Z$85)</f>
        <v>116712.20948252</v>
      </c>
      <c r="I20" s="7" t="n">
        <f aca="false">SUMPRODUCT((region_annual_ha!$A$2:$A$85=$A20)*(region_annual_ha!$B$2:$B$85="live")*(region_annual_ha!$D$1:$Z$1&gt;=periods!$B$4)*(region_annual_ha!$D$1:$Z$1&lt;=periods!$C$4)*region_annual_ha!$D$2:$Z$85)</f>
        <v>319249.974378154</v>
      </c>
      <c r="J20" s="7" t="n">
        <f aca="false">SUMPRODUCT((region_annual_ha!$A$2:$A$85=$A20)*(region_annual_ha!$B$2:$B$85="live")*(region_annual_ha!$D$1:$Z$1&gt;=periods!$B$5)*(region_annual_ha!$D$1:$Z$1&lt;=periods!$C$5)*region_annual_ha!$D$2:$Z$85)</f>
        <v>200616.990587881</v>
      </c>
      <c r="K20" s="7" t="n">
        <f aca="false">SUMPRODUCT((region_annual_ha!$A$2:$A$85=$A20)*(region_annual_ha!$B$2:$B$85="fors")*(region_annual_ha!$D$1:$Z$1&gt;=periods!$B$2)*(region_annual_ha!$D$1:$Z$1&lt;=periods!$C$2)*region_annual_ha!$D$2:$Z$85)</f>
        <v>168.668212573242</v>
      </c>
      <c r="L20" s="7" t="n">
        <f aca="false">SUMPRODUCT((region_annual_ha!$A$2:$A$85=$A20)*(region_annual_ha!$B$2:$B$85="fors")*(region_annual_ha!$D$1:$Z$1&gt;=periods!$B$3)*(region_annual_ha!$D$1:$Z$1&lt;=periods!$C$3)*region_annual_ha!$D$2:$Z$85)</f>
        <v>519.673452252197</v>
      </c>
      <c r="M20" s="7" t="n">
        <f aca="false">SUMPRODUCT((region_annual_ha!$A$2:$A$85=$A20)*(region_annual_ha!$B$2:$B$85="fors")*(region_annual_ha!$D$1:$Z$1&gt;=periods!$B$4)*(region_annual_ha!$D$1:$Z$1&lt;=periods!$C$4)*region_annual_ha!$D$2:$Z$85)</f>
        <v>740.390159301759</v>
      </c>
      <c r="N20" s="7" t="n">
        <f aca="false">SUMPRODUCT((region_annual_ha!$A$2:$A$85=$A20)*(region_annual_ha!$B$2:$B$85="fors")*(region_annual_ha!$D$1:$Z$1&gt;=periods!$B$5)*(region_annual_ha!$D$1:$Z$1&lt;=periods!$C$5)*region_annual_ha!$D$2:$Z$85)</f>
        <v>352.349420092774</v>
      </c>
      <c r="O20" s="7" t="n">
        <f aca="false">C20+G20+K20</f>
        <v>2019134.70611229</v>
      </c>
      <c r="P20" s="7" t="n">
        <f aca="false">D20+H20+L20</f>
        <v>2562319.58329745</v>
      </c>
      <c r="Q20" s="7" t="n">
        <f aca="false">E20+I20+M20</f>
        <v>2150878.81798907</v>
      </c>
      <c r="R20" s="7" t="n">
        <f aca="false">F20+J20+N20</f>
        <v>1870802.42253871</v>
      </c>
    </row>
    <row r="21" customFormat="false" ht="15" hidden="false" customHeight="false" outlineLevel="0" collapsed="false">
      <c r="A21" s="4" t="s">
        <v>67</v>
      </c>
      <c r="B21" s="4" t="s">
        <v>68</v>
      </c>
      <c r="C21" s="7" t="n">
        <f aca="false">SUMPRODUCT((region_annual_ha!$A$2:$A$85=$A21)*(region_annual_ha!$B$2:$B$85="crop")*(region_annual_ha!$D$1:$Z$1&gt;=periods!$B$2)*(region_annual_ha!$D$1:$Z$1&lt;=periods!$C$2)*region_annual_ha!$D$2:$Z$85)</f>
        <v>423293.532080461</v>
      </c>
      <c r="D21" s="7" t="n">
        <f aca="false">SUMPRODUCT((region_annual_ha!$A$2:$A$85=$A21)*(region_annual_ha!$B$2:$B$85="crop")*(region_annual_ha!$D$1:$Z$1&gt;=periods!$B$3)*(region_annual_ha!$D$1:$Z$1&lt;=periods!$C$3)*region_annual_ha!$D$2:$Z$85)</f>
        <v>1324928.94017728</v>
      </c>
      <c r="E21" s="7" t="n">
        <f aca="false">SUMPRODUCT((region_annual_ha!$A$2:$A$85=$A21)*(region_annual_ha!$B$2:$B$85="crop")*(region_annual_ha!$D$1:$Z$1&gt;=periods!$B$4)*(region_annual_ha!$D$1:$Z$1&lt;=periods!$C$4)*region_annual_ha!$D$2:$Z$85)</f>
        <v>1923543.00345805</v>
      </c>
      <c r="F21" s="7" t="n">
        <f aca="false">SUMPRODUCT((region_annual_ha!$A$2:$A$85=$A21)*(region_annual_ha!$B$2:$B$85="crop")*(region_annual_ha!$D$1:$Z$1&gt;=periods!$B$5)*(region_annual_ha!$D$1:$Z$1&lt;=periods!$C$5)*region_annual_ha!$D$2:$Z$85)</f>
        <v>902665.043087215</v>
      </c>
      <c r="G21" s="7" t="n">
        <f aca="false">SUMPRODUCT((region_annual_ha!$A$2:$A$85=$A21)*(region_annual_ha!$B$2:$B$85="live")*(region_annual_ha!$D$1:$Z$1&gt;=periods!$B$2)*(region_annual_ha!$D$1:$Z$1&lt;=periods!$C$2)*region_annual_ha!$D$2:$Z$85)</f>
        <v>17667.9911464991</v>
      </c>
      <c r="H21" s="7" t="n">
        <f aca="false">SUMPRODUCT((region_annual_ha!$A$2:$A$85=$A21)*(region_annual_ha!$B$2:$B$85="live")*(region_annual_ha!$D$1:$Z$1&gt;=periods!$B$3)*(region_annual_ha!$D$1:$Z$1&lt;=periods!$C$3)*region_annual_ha!$D$2:$Z$85)</f>
        <v>35317.699981702</v>
      </c>
      <c r="I21" s="7" t="n">
        <f aca="false">SUMPRODUCT((region_annual_ha!$A$2:$A$85=$A21)*(region_annual_ha!$B$2:$B$85="live")*(region_annual_ha!$D$1:$Z$1&gt;=periods!$B$4)*(region_annual_ha!$D$1:$Z$1&lt;=periods!$C$4)*region_annual_ha!$D$2:$Z$85)</f>
        <v>196117.054111721</v>
      </c>
      <c r="J21" s="7" t="n">
        <f aca="false">SUMPRODUCT((region_annual_ha!$A$2:$A$85=$A21)*(region_annual_ha!$B$2:$B$85="live")*(region_annual_ha!$D$1:$Z$1&gt;=periods!$B$5)*(region_annual_ha!$D$1:$Z$1&lt;=periods!$C$5)*region_annual_ha!$D$2:$Z$85)</f>
        <v>75068.8802069239</v>
      </c>
      <c r="K21" s="7" t="n">
        <f aca="false">SUMPRODUCT((region_annual_ha!$A$2:$A$85=$A21)*(region_annual_ha!$B$2:$B$85="fors")*(region_annual_ha!$D$1:$Z$1&gt;=periods!$B$2)*(region_annual_ha!$D$1:$Z$1&lt;=periods!$C$2)*region_annual_ha!$D$2:$Z$85)</f>
        <v>5755.40887219422</v>
      </c>
      <c r="L21" s="7" t="n">
        <f aca="false">SUMPRODUCT((region_annual_ha!$A$2:$A$85=$A21)*(region_annual_ha!$B$2:$B$85="fors")*(region_annual_ha!$D$1:$Z$1&gt;=periods!$B$3)*(region_annual_ha!$D$1:$Z$1&lt;=periods!$C$3)*region_annual_ha!$D$2:$Z$85)</f>
        <v>10227.6109013504</v>
      </c>
      <c r="M21" s="7" t="n">
        <f aca="false">SUMPRODUCT((region_annual_ha!$A$2:$A$85=$A21)*(region_annual_ha!$B$2:$B$85="fors")*(region_annual_ha!$D$1:$Z$1&gt;=periods!$B$4)*(region_annual_ha!$D$1:$Z$1&lt;=periods!$C$4)*region_annual_ha!$D$2:$Z$85)</f>
        <v>13002.1450200566</v>
      </c>
      <c r="N21" s="7" t="n">
        <f aca="false">SUMPRODUCT((region_annual_ha!$A$2:$A$85=$A21)*(region_annual_ha!$B$2:$B$85="fors")*(region_annual_ha!$D$1:$Z$1&gt;=periods!$B$5)*(region_annual_ha!$D$1:$Z$1&lt;=periods!$C$5)*region_annual_ha!$D$2:$Z$85)</f>
        <v>8847.98672685691</v>
      </c>
      <c r="O21" s="7" t="n">
        <f aca="false">C21+G21+K21</f>
        <v>446716.932099154</v>
      </c>
      <c r="P21" s="7" t="n">
        <f aca="false">D21+H21+L21</f>
        <v>1370474.25106033</v>
      </c>
      <c r="Q21" s="7" t="n">
        <f aca="false">E21+I21+M21</f>
        <v>2132662.20258982</v>
      </c>
      <c r="R21" s="7" t="n">
        <f aca="false">F21+J21+N21</f>
        <v>986581.910020996</v>
      </c>
    </row>
    <row r="22" customFormat="false" ht="15" hidden="false" customHeight="false" outlineLevel="0" collapsed="false">
      <c r="A22" s="4" t="s">
        <v>69</v>
      </c>
      <c r="B22" s="4" t="s">
        <v>70</v>
      </c>
      <c r="C22" s="7" t="n">
        <f aca="false">SUMPRODUCT((region_annual_ha!$A$2:$A$85=$A22)*(region_annual_ha!$B$2:$B$85="crop")*(region_annual_ha!$D$1:$Z$1&gt;=periods!$B$2)*(region_annual_ha!$D$1:$Z$1&lt;=periods!$C$2)*region_annual_ha!$D$2:$Z$85)</f>
        <v>3783.36537357503</v>
      </c>
      <c r="D22" s="7" t="n">
        <f aca="false">SUMPRODUCT((region_annual_ha!$A$2:$A$85=$A22)*(region_annual_ha!$B$2:$B$85="crop")*(region_annual_ha!$D$1:$Z$1&gt;=periods!$B$3)*(region_annual_ha!$D$1:$Z$1&lt;=periods!$C$3)*region_annual_ha!$D$2:$Z$85)</f>
        <v>15003.901061925</v>
      </c>
      <c r="E22" s="7" t="n">
        <f aca="false">SUMPRODUCT((region_annual_ha!$A$2:$A$85=$A22)*(region_annual_ha!$B$2:$B$85="crop")*(region_annual_ha!$D$1:$Z$1&gt;=periods!$B$4)*(region_annual_ha!$D$1:$Z$1&lt;=periods!$C$4)*region_annual_ha!$D$2:$Z$85)</f>
        <v>11555.7221188438</v>
      </c>
      <c r="F22" s="7" t="n">
        <f aca="false">SUMPRODUCT((region_annual_ha!$A$2:$A$85=$A22)*(region_annual_ha!$B$2:$B$85="crop")*(region_annual_ha!$D$1:$Z$1&gt;=periods!$B$5)*(region_annual_ha!$D$1:$Z$1&lt;=periods!$C$5)*region_annual_ha!$D$2:$Z$85)</f>
        <v>2927.23822935522</v>
      </c>
      <c r="G22" s="7" t="n">
        <f aca="false">SUMPRODUCT((region_annual_ha!$A$2:$A$85=$A22)*(region_annual_ha!$B$2:$B$85="live")*(region_annual_ha!$D$1:$Z$1&gt;=periods!$B$2)*(region_annual_ha!$D$1:$Z$1&lt;=periods!$C$2)*region_annual_ha!$D$2:$Z$85)</f>
        <v>13170.5327563545</v>
      </c>
      <c r="H22" s="7" t="n">
        <f aca="false">SUMPRODUCT((region_annual_ha!$A$2:$A$85=$A22)*(region_annual_ha!$B$2:$B$85="live")*(region_annual_ha!$D$1:$Z$1&gt;=periods!$B$3)*(region_annual_ha!$D$1:$Z$1&lt;=periods!$C$3)*region_annual_ha!$D$2:$Z$85)</f>
        <v>21072.8569732114</v>
      </c>
      <c r="I22" s="7" t="n">
        <f aca="false">SUMPRODUCT((region_annual_ha!$A$2:$A$85=$A22)*(region_annual_ha!$B$2:$B$85="live")*(region_annual_ha!$D$1:$Z$1&gt;=periods!$B$4)*(region_annual_ha!$D$1:$Z$1&lt;=periods!$C$4)*region_annual_ha!$D$2:$Z$85)</f>
        <v>31757.3196442005</v>
      </c>
      <c r="J22" s="7" t="n">
        <f aca="false">SUMPRODUCT((region_annual_ha!$A$2:$A$85=$A22)*(region_annual_ha!$B$2:$B$85="live")*(region_annual_ha!$D$1:$Z$1&gt;=periods!$B$5)*(region_annual_ha!$D$1:$Z$1&lt;=periods!$C$5)*region_annual_ha!$D$2:$Z$85)</f>
        <v>11558.6134702894</v>
      </c>
      <c r="K22" s="7" t="n">
        <f aca="false">SUMPRODUCT((region_annual_ha!$A$2:$A$85=$A22)*(region_annual_ha!$B$2:$B$85="fors")*(region_annual_ha!$D$1:$Z$1&gt;=periods!$B$2)*(region_annual_ha!$D$1:$Z$1&lt;=periods!$C$2)*region_annual_ha!$D$2:$Z$85)</f>
        <v>0</v>
      </c>
      <c r="L22" s="7" t="n">
        <f aca="false">SUMPRODUCT((region_annual_ha!$A$2:$A$85=$A22)*(region_annual_ha!$B$2:$B$85="fors")*(region_annual_ha!$D$1:$Z$1&gt;=periods!$B$3)*(region_annual_ha!$D$1:$Z$1&lt;=periods!$C$3)*region_annual_ha!$D$2:$Z$85)</f>
        <v>0</v>
      </c>
      <c r="M22" s="7" t="n">
        <f aca="false">SUMPRODUCT((region_annual_ha!$A$2:$A$85=$A22)*(region_annual_ha!$B$2:$B$85="fors")*(region_annual_ha!$D$1:$Z$1&gt;=periods!$B$4)*(region_annual_ha!$D$1:$Z$1&lt;=periods!$C$4)*region_annual_ha!$D$2:$Z$85)</f>
        <v>0</v>
      </c>
      <c r="N22" s="7" t="n">
        <f aca="false">SUMPRODUCT((region_annual_ha!$A$2:$A$85=$A22)*(region_annual_ha!$B$2:$B$85="fors")*(region_annual_ha!$D$1:$Z$1&gt;=periods!$B$5)*(region_annual_ha!$D$1:$Z$1&lt;=periods!$C$5)*region_annual_ha!$D$2:$Z$85)</f>
        <v>0</v>
      </c>
      <c r="O22" s="7" t="n">
        <f aca="false">C22+G22+K22</f>
        <v>16953.8981299295</v>
      </c>
      <c r="P22" s="7" t="n">
        <f aca="false">D22+H22+L22</f>
        <v>36076.7580351364</v>
      </c>
      <c r="Q22" s="7" t="n">
        <f aca="false">E22+I22+M22</f>
        <v>43313.0417630444</v>
      </c>
      <c r="R22" s="7" t="n">
        <f aca="false">F22+J22+N22</f>
        <v>14485.8516996447</v>
      </c>
    </row>
    <row r="23" customFormat="false" ht="15" hidden="false" customHeight="false" outlineLevel="0" collapsed="false">
      <c r="A23" s="4" t="s">
        <v>71</v>
      </c>
      <c r="B23" s="4" t="s">
        <v>72</v>
      </c>
      <c r="C23" s="7" t="n">
        <f aca="false">SUMPRODUCT((region_annual_ha!$A$2:$A$85=$A23)*(region_annual_ha!$B$2:$B$85="crop")*(region_annual_ha!$D$1:$Z$1&gt;=periods!$B$2)*(region_annual_ha!$D$1:$Z$1&lt;=periods!$C$2)*region_annual_ha!$D$2:$Z$85)</f>
        <v>17329.0489894217</v>
      </c>
      <c r="D23" s="7" t="n">
        <f aca="false">SUMPRODUCT((region_annual_ha!$A$2:$A$85=$A23)*(region_annual_ha!$B$2:$B$85="crop")*(region_annual_ha!$D$1:$Z$1&gt;=periods!$B$3)*(region_annual_ha!$D$1:$Z$1&lt;=periods!$C$3)*region_annual_ha!$D$2:$Z$85)</f>
        <v>159298.308372147</v>
      </c>
      <c r="E23" s="7" t="n">
        <f aca="false">SUMPRODUCT((region_annual_ha!$A$2:$A$85=$A23)*(region_annual_ha!$B$2:$B$85="crop")*(region_annual_ha!$D$1:$Z$1&gt;=periods!$B$4)*(region_annual_ha!$D$1:$Z$1&lt;=periods!$C$4)*region_annual_ha!$D$2:$Z$85)</f>
        <v>618651.570913439</v>
      </c>
      <c r="F23" s="7" t="n">
        <f aca="false">SUMPRODUCT((region_annual_ha!$A$2:$A$85=$A23)*(region_annual_ha!$B$2:$B$85="crop")*(region_annual_ha!$D$1:$Z$1&gt;=periods!$B$5)*(region_annual_ha!$D$1:$Z$1&lt;=periods!$C$5)*region_annual_ha!$D$2:$Z$85)</f>
        <v>305708.908378326</v>
      </c>
      <c r="G23" s="7" t="n">
        <f aca="false">SUMPRODUCT((region_annual_ha!$A$2:$A$85=$A23)*(region_annual_ha!$B$2:$B$85="live")*(region_annual_ha!$D$1:$Z$1&gt;=periods!$B$2)*(region_annual_ha!$D$1:$Z$1&lt;=periods!$C$2)*region_annual_ha!$D$2:$Z$85)</f>
        <v>76039.7538066165</v>
      </c>
      <c r="H23" s="7" t="n">
        <f aca="false">SUMPRODUCT((region_annual_ha!$A$2:$A$85=$A23)*(region_annual_ha!$B$2:$B$85="live")*(region_annual_ha!$D$1:$Z$1&gt;=periods!$B$3)*(region_annual_ha!$D$1:$Z$1&lt;=periods!$C$3)*region_annual_ha!$D$2:$Z$85)</f>
        <v>146841.505537358</v>
      </c>
      <c r="I23" s="7" t="n">
        <f aca="false">SUMPRODUCT((region_annual_ha!$A$2:$A$85=$A23)*(region_annual_ha!$B$2:$B$85="live")*(region_annual_ha!$D$1:$Z$1&gt;=periods!$B$4)*(region_annual_ha!$D$1:$Z$1&lt;=periods!$C$4)*region_annual_ha!$D$2:$Z$85)</f>
        <v>96160.577587385</v>
      </c>
      <c r="J23" s="7" t="n">
        <f aca="false">SUMPRODUCT((region_annual_ha!$A$2:$A$85=$A23)*(region_annual_ha!$B$2:$B$85="live")*(region_annual_ha!$D$1:$Z$1&gt;=periods!$B$5)*(region_annual_ha!$D$1:$Z$1&lt;=periods!$C$5)*region_annual_ha!$D$2:$Z$85)</f>
        <v>66973.2155389133</v>
      </c>
      <c r="K23" s="7" t="n">
        <f aca="false">SUMPRODUCT((region_annual_ha!$A$2:$A$85=$A23)*(region_annual_ha!$B$2:$B$85="fors")*(region_annual_ha!$D$1:$Z$1&gt;=periods!$B$2)*(region_annual_ha!$D$1:$Z$1&lt;=periods!$C$2)*region_annual_ha!$D$2:$Z$85)</f>
        <v>0</v>
      </c>
      <c r="L23" s="7" t="n">
        <f aca="false">SUMPRODUCT((region_annual_ha!$A$2:$A$85=$A23)*(region_annual_ha!$B$2:$B$85="fors")*(region_annual_ha!$D$1:$Z$1&gt;=periods!$B$3)*(region_annual_ha!$D$1:$Z$1&lt;=periods!$C$3)*region_annual_ha!$D$2:$Z$85)</f>
        <v>0</v>
      </c>
      <c r="M23" s="7" t="n">
        <f aca="false">SUMPRODUCT((region_annual_ha!$A$2:$A$85=$A23)*(region_annual_ha!$B$2:$B$85="fors")*(region_annual_ha!$D$1:$Z$1&gt;=periods!$B$4)*(region_annual_ha!$D$1:$Z$1&lt;=periods!$C$4)*region_annual_ha!$D$2:$Z$85)</f>
        <v>0</v>
      </c>
      <c r="N23" s="7" t="n">
        <f aca="false">SUMPRODUCT((region_annual_ha!$A$2:$A$85=$A23)*(region_annual_ha!$B$2:$B$85="fors")*(region_annual_ha!$D$1:$Z$1&gt;=periods!$B$5)*(region_annual_ha!$D$1:$Z$1&lt;=periods!$C$5)*region_annual_ha!$D$2:$Z$85)</f>
        <v>0</v>
      </c>
      <c r="O23" s="7" t="n">
        <f aca="false">C23+G23+K23</f>
        <v>93368.8027960381</v>
      </c>
      <c r="P23" s="7" t="n">
        <f aca="false">D23+H23+L23</f>
        <v>306139.813909504</v>
      </c>
      <c r="Q23" s="7" t="n">
        <f aca="false">E23+I23+M23</f>
        <v>714812.148500824</v>
      </c>
      <c r="R23" s="7" t="n">
        <f aca="false">F23+J23+N23</f>
        <v>372682.123917239</v>
      </c>
    </row>
    <row r="24" customFormat="false" ht="15" hidden="false" customHeight="false" outlineLevel="0" collapsed="false">
      <c r="A24" s="4" t="s">
        <v>73</v>
      </c>
      <c r="B24" s="4" t="s">
        <v>74</v>
      </c>
      <c r="C24" s="7" t="n">
        <f aca="false">SUMPRODUCT((region_annual_ha!$A$2:$A$85=$A24)*(region_annual_ha!$B$2:$B$85="crop")*(region_annual_ha!$D$1:$Z$1&gt;=periods!$B$2)*(region_annual_ha!$D$1:$Z$1&lt;=periods!$C$2)*region_annual_ha!$D$2:$Z$85)</f>
        <v>159711.415505017</v>
      </c>
      <c r="D24" s="7" t="n">
        <f aca="false">SUMPRODUCT((region_annual_ha!$A$2:$A$85=$A24)*(region_annual_ha!$B$2:$B$85="crop")*(region_annual_ha!$D$1:$Z$1&gt;=periods!$B$3)*(region_annual_ha!$D$1:$Z$1&lt;=periods!$C$3)*region_annual_ha!$D$2:$Z$85)</f>
        <v>291337.181319383</v>
      </c>
      <c r="E24" s="7" t="n">
        <f aca="false">SUMPRODUCT((region_annual_ha!$A$2:$A$85=$A24)*(region_annual_ha!$B$2:$B$85="crop")*(region_annual_ha!$D$1:$Z$1&gt;=periods!$B$4)*(region_annual_ha!$D$1:$Z$1&lt;=periods!$C$4)*region_annual_ha!$D$2:$Z$85)</f>
        <v>75127.6724260364</v>
      </c>
      <c r="F24" s="7" t="n">
        <f aca="false">SUMPRODUCT((region_annual_ha!$A$2:$A$85=$A24)*(region_annual_ha!$B$2:$B$85="crop")*(region_annual_ha!$D$1:$Z$1&gt;=periods!$B$5)*(region_annual_ha!$D$1:$Z$1&lt;=periods!$C$5)*region_annual_ha!$D$2:$Z$85)</f>
        <v>8695.40206880967</v>
      </c>
      <c r="G24" s="7" t="n">
        <f aca="false">SUMPRODUCT((region_annual_ha!$A$2:$A$85=$A24)*(region_annual_ha!$B$2:$B$85="live")*(region_annual_ha!$D$1:$Z$1&gt;=periods!$B$2)*(region_annual_ha!$D$1:$Z$1&lt;=periods!$C$2)*region_annual_ha!$D$2:$Z$85)</f>
        <v>15784.2127432483</v>
      </c>
      <c r="H24" s="7" t="n">
        <f aca="false">SUMPRODUCT((region_annual_ha!$A$2:$A$85=$A24)*(region_annual_ha!$B$2:$B$85="live")*(region_annual_ha!$D$1:$Z$1&gt;=periods!$B$3)*(region_annual_ha!$D$1:$Z$1&lt;=periods!$C$3)*region_annual_ha!$D$2:$Z$85)</f>
        <v>17892.9308124358</v>
      </c>
      <c r="I24" s="7" t="n">
        <f aca="false">SUMPRODUCT((region_annual_ha!$A$2:$A$85=$A24)*(region_annual_ha!$B$2:$B$85="live")*(region_annual_ha!$D$1:$Z$1&gt;=periods!$B$4)*(region_annual_ha!$D$1:$Z$1&lt;=periods!$C$4)*region_annual_ha!$D$2:$Z$85)</f>
        <v>215763.105359971</v>
      </c>
      <c r="J24" s="7" t="n">
        <f aca="false">SUMPRODUCT((region_annual_ha!$A$2:$A$85=$A24)*(region_annual_ha!$B$2:$B$85="live")*(region_annual_ha!$D$1:$Z$1&gt;=periods!$B$5)*(region_annual_ha!$D$1:$Z$1&lt;=periods!$C$5)*region_annual_ha!$D$2:$Z$85)</f>
        <v>212621.01991778</v>
      </c>
      <c r="K24" s="7" t="n">
        <f aca="false">SUMPRODUCT((region_annual_ha!$A$2:$A$85=$A24)*(region_annual_ha!$B$2:$B$85="fors")*(region_annual_ha!$D$1:$Z$1&gt;=periods!$B$2)*(region_annual_ha!$D$1:$Z$1&lt;=periods!$C$2)*region_annual_ha!$D$2:$Z$85)</f>
        <v>0</v>
      </c>
      <c r="L24" s="7" t="n">
        <f aca="false">SUMPRODUCT((region_annual_ha!$A$2:$A$85=$A24)*(region_annual_ha!$B$2:$B$85="fors")*(region_annual_ha!$D$1:$Z$1&gt;=periods!$B$3)*(region_annual_ha!$D$1:$Z$1&lt;=periods!$C$3)*region_annual_ha!$D$2:$Z$85)</f>
        <v>0</v>
      </c>
      <c r="M24" s="7" t="n">
        <f aca="false">SUMPRODUCT((region_annual_ha!$A$2:$A$85=$A24)*(region_annual_ha!$B$2:$B$85="fors")*(region_annual_ha!$D$1:$Z$1&gt;=periods!$B$4)*(region_annual_ha!$D$1:$Z$1&lt;=periods!$C$4)*region_annual_ha!$D$2:$Z$85)</f>
        <v>0</v>
      </c>
      <c r="N24" s="7" t="n">
        <f aca="false">SUMPRODUCT((region_annual_ha!$A$2:$A$85=$A24)*(region_annual_ha!$B$2:$B$85="fors")*(region_annual_ha!$D$1:$Z$1&gt;=periods!$B$5)*(region_annual_ha!$D$1:$Z$1&lt;=periods!$C$5)*region_annual_ha!$D$2:$Z$85)</f>
        <v>0</v>
      </c>
      <c r="O24" s="7" t="n">
        <f aca="false">C24+G24+K24</f>
        <v>175495.628248265</v>
      </c>
      <c r="P24" s="7" t="n">
        <f aca="false">D24+H24+L24</f>
        <v>309230.112131819</v>
      </c>
      <c r="Q24" s="7" t="n">
        <f aca="false">E24+I24+M24</f>
        <v>290890.777786007</v>
      </c>
      <c r="R24" s="7" t="n">
        <f aca="false">F24+J24+N24</f>
        <v>221316.421986589</v>
      </c>
    </row>
    <row r="25" customFormat="false" ht="15" hidden="false" customHeight="false" outlineLevel="0" collapsed="false">
      <c r="A25" s="4" t="s">
        <v>75</v>
      </c>
      <c r="B25" s="4" t="s">
        <v>76</v>
      </c>
      <c r="C25" s="7" t="n">
        <f aca="false">SUMPRODUCT((region_annual_ha!$A$2:$A$85=$A25)*(region_annual_ha!$B$2:$B$85="crop")*(region_annual_ha!$D$1:$Z$1&gt;=periods!$B$2)*(region_annual_ha!$D$1:$Z$1&lt;=periods!$C$2)*region_annual_ha!$D$2:$Z$85)</f>
        <v>8948.17673625327</v>
      </c>
      <c r="D25" s="7" t="n">
        <f aca="false">SUMPRODUCT((region_annual_ha!$A$2:$A$85=$A25)*(region_annual_ha!$B$2:$B$85="crop")*(region_annual_ha!$D$1:$Z$1&gt;=periods!$B$3)*(region_annual_ha!$D$1:$Z$1&lt;=periods!$C$3)*region_annual_ha!$D$2:$Z$85)</f>
        <v>5147.10183155895</v>
      </c>
      <c r="E25" s="7" t="n">
        <f aca="false">SUMPRODUCT((region_annual_ha!$A$2:$A$85=$A25)*(region_annual_ha!$B$2:$B$85="crop")*(region_annual_ha!$D$1:$Z$1&gt;=periods!$B$4)*(region_annual_ha!$D$1:$Z$1&lt;=periods!$C$4)*region_annual_ha!$D$2:$Z$85)</f>
        <v>2214.88129395932</v>
      </c>
      <c r="F25" s="7" t="n">
        <f aca="false">SUMPRODUCT((region_annual_ha!$A$2:$A$85=$A25)*(region_annual_ha!$B$2:$B$85="crop")*(region_annual_ha!$D$1:$Z$1&gt;=periods!$B$5)*(region_annual_ha!$D$1:$Z$1&lt;=periods!$C$5)*region_annual_ha!$D$2:$Z$85)</f>
        <v>5982.02371470502</v>
      </c>
      <c r="G25" s="7" t="n">
        <f aca="false">SUMPRODUCT((region_annual_ha!$A$2:$A$85=$A25)*(region_annual_ha!$B$2:$B$85="live")*(region_annual_ha!$D$1:$Z$1&gt;=periods!$B$2)*(region_annual_ha!$D$1:$Z$1&lt;=periods!$C$2)*region_annual_ha!$D$2:$Z$85)</f>
        <v>2317.43604532849</v>
      </c>
      <c r="H25" s="7" t="n">
        <f aca="false">SUMPRODUCT((region_annual_ha!$A$2:$A$85=$A25)*(region_annual_ha!$B$2:$B$85="live")*(region_annual_ha!$D$1:$Z$1&gt;=periods!$B$3)*(region_annual_ha!$D$1:$Z$1&lt;=periods!$C$3)*region_annual_ha!$D$2:$Z$85)</f>
        <v>9768.76585118485</v>
      </c>
      <c r="I25" s="7" t="n">
        <f aca="false">SUMPRODUCT((region_annual_ha!$A$2:$A$85=$A25)*(region_annual_ha!$B$2:$B$85="live")*(region_annual_ha!$D$1:$Z$1&gt;=periods!$B$4)*(region_annual_ha!$D$1:$Z$1&lt;=periods!$C$4)*region_annual_ha!$D$2:$Z$85)</f>
        <v>6862.8485504995</v>
      </c>
      <c r="J25" s="7" t="n">
        <f aca="false">SUMPRODUCT((region_annual_ha!$A$2:$A$85=$A25)*(region_annual_ha!$B$2:$B$85="live")*(region_annual_ha!$D$1:$Z$1&gt;=periods!$B$5)*(region_annual_ha!$D$1:$Z$1&lt;=periods!$C$5)*region_annual_ha!$D$2:$Z$85)</f>
        <v>2010.08246670126</v>
      </c>
      <c r="K25" s="7" t="n">
        <f aca="false">SUMPRODUCT((region_annual_ha!$A$2:$A$85=$A25)*(region_annual_ha!$B$2:$B$85="fors")*(region_annual_ha!$D$1:$Z$1&gt;=periods!$B$2)*(region_annual_ha!$D$1:$Z$1&lt;=periods!$C$2)*region_annual_ha!$D$2:$Z$85)</f>
        <v>34.5322026762384</v>
      </c>
      <c r="L25" s="7" t="n">
        <f aca="false">SUMPRODUCT((region_annual_ha!$A$2:$A$85=$A25)*(region_annual_ha!$B$2:$B$85="fors")*(region_annual_ha!$D$1:$Z$1&gt;=periods!$B$3)*(region_annual_ha!$D$1:$Z$1&lt;=periods!$C$3)*region_annual_ha!$D$2:$Z$85)</f>
        <v>29.2418373268091</v>
      </c>
      <c r="M25" s="7" t="n">
        <f aca="false">SUMPRODUCT((region_annual_ha!$A$2:$A$85=$A25)*(region_annual_ha!$B$2:$B$85="fors")*(region_annual_ha!$D$1:$Z$1&gt;=periods!$B$4)*(region_annual_ha!$D$1:$Z$1&lt;=periods!$C$4)*region_annual_ha!$D$2:$Z$85)</f>
        <v>0</v>
      </c>
      <c r="N25" s="7" t="n">
        <f aca="false">SUMPRODUCT((region_annual_ha!$A$2:$A$85=$A25)*(region_annual_ha!$B$2:$B$85="fors")*(region_annual_ha!$D$1:$Z$1&gt;=periods!$B$5)*(region_annual_ha!$D$1:$Z$1&lt;=periods!$C$5)*region_annual_ha!$D$2:$Z$85)</f>
        <v>0</v>
      </c>
      <c r="O25" s="7" t="n">
        <f aca="false">C25+G25+K25</f>
        <v>11300.144984258</v>
      </c>
      <c r="P25" s="7" t="n">
        <f aca="false">D25+H25+L25</f>
        <v>14945.1095200706</v>
      </c>
      <c r="Q25" s="7" t="n">
        <f aca="false">E25+I25+M25</f>
        <v>9077.72984445882</v>
      </c>
      <c r="R25" s="7" t="n">
        <f aca="false">F25+J25+N25</f>
        <v>7992.10618140628</v>
      </c>
    </row>
    <row r="26" customFormat="false" ht="15" hidden="false" customHeight="false" outlineLevel="0" collapsed="false">
      <c r="A26" s="4" t="s">
        <v>77</v>
      </c>
      <c r="B26" s="4" t="s">
        <v>78</v>
      </c>
      <c r="C26" s="7" t="n">
        <f aca="false">SUMPRODUCT((region_annual_ha!$A$2:$A$85=$A26)*(region_annual_ha!$B$2:$B$85="crop")*(region_annual_ha!$D$1:$Z$1&gt;=periods!$B$2)*(region_annual_ha!$D$1:$Z$1&lt;=periods!$C$2)*region_annual_ha!$D$2:$Z$85)</f>
        <v>285.702833344567</v>
      </c>
      <c r="D26" s="7" t="n">
        <f aca="false">SUMPRODUCT((region_annual_ha!$A$2:$A$85=$A26)*(region_annual_ha!$B$2:$B$85="crop")*(region_annual_ha!$D$1:$Z$1&gt;=periods!$B$3)*(region_annual_ha!$D$1:$Z$1&lt;=periods!$C$3)*region_annual_ha!$D$2:$Z$85)</f>
        <v>600.205836471829</v>
      </c>
      <c r="E26" s="7" t="n">
        <f aca="false">SUMPRODUCT((region_annual_ha!$A$2:$A$85=$A26)*(region_annual_ha!$B$2:$B$85="crop")*(region_annual_ha!$D$1:$Z$1&gt;=periods!$B$4)*(region_annual_ha!$D$1:$Z$1&lt;=periods!$C$4)*region_annual_ha!$D$2:$Z$85)</f>
        <v>694.495277158714</v>
      </c>
      <c r="F26" s="7" t="n">
        <f aca="false">SUMPRODUCT((region_annual_ha!$A$2:$A$85=$A26)*(region_annual_ha!$B$2:$B$85="crop")*(region_annual_ha!$D$1:$Z$1&gt;=periods!$B$5)*(region_annual_ha!$D$1:$Z$1&lt;=periods!$C$5)*region_annual_ha!$D$2:$Z$85)</f>
        <v>10.3129292399114</v>
      </c>
      <c r="G26" s="7" t="n">
        <f aca="false">SUMPRODUCT((region_annual_ha!$A$2:$A$85=$A26)*(region_annual_ha!$B$2:$B$85="live")*(region_annual_ha!$D$1:$Z$1&gt;=periods!$B$2)*(region_annual_ha!$D$1:$Z$1&lt;=periods!$C$2)*region_annual_ha!$D$2:$Z$85)</f>
        <v>131.80016405075</v>
      </c>
      <c r="H26" s="7" t="n">
        <f aca="false">SUMPRODUCT((region_annual_ha!$A$2:$A$85=$A26)*(region_annual_ha!$B$2:$B$85="live")*(region_annual_ha!$D$1:$Z$1&gt;=periods!$B$3)*(region_annual_ha!$D$1:$Z$1&lt;=periods!$C$3)*region_annual_ha!$D$2:$Z$85)</f>
        <v>200.206871359932</v>
      </c>
      <c r="I26" s="7" t="n">
        <f aca="false">SUMPRODUCT((region_annual_ha!$A$2:$A$85=$A26)*(region_annual_ha!$B$2:$B$85="live")*(region_annual_ha!$D$1:$Z$1&gt;=periods!$B$4)*(region_annual_ha!$D$1:$Z$1&lt;=periods!$C$4)*region_annual_ha!$D$2:$Z$85)</f>
        <v>19.3128726053143</v>
      </c>
      <c r="J26" s="7" t="n">
        <f aca="false">SUMPRODUCT((region_annual_ha!$A$2:$A$85=$A26)*(region_annual_ha!$B$2:$B$85="live")*(region_annual_ha!$D$1:$Z$1&gt;=periods!$B$5)*(region_annual_ha!$D$1:$Z$1&lt;=periods!$C$5)*region_annual_ha!$D$2:$Z$85)</f>
        <v>8.19914593810683</v>
      </c>
      <c r="K26" s="7" t="n">
        <f aca="false">SUMPRODUCT((region_annual_ha!$A$2:$A$85=$A26)*(region_annual_ha!$B$2:$B$85="fors")*(region_annual_ha!$D$1:$Z$1&gt;=periods!$B$2)*(region_annual_ha!$D$1:$Z$1&lt;=periods!$C$2)*region_annual_ha!$D$2:$Z$85)</f>
        <v>35.4213268511985</v>
      </c>
      <c r="L26" s="7" t="n">
        <f aca="false">SUMPRODUCT((region_annual_ha!$A$2:$A$85=$A26)*(region_annual_ha!$B$2:$B$85="fors")*(region_annual_ha!$D$1:$Z$1&gt;=periods!$B$3)*(region_annual_ha!$D$1:$Z$1&lt;=periods!$C$3)*region_annual_ha!$D$2:$Z$85)</f>
        <v>6.27733540403575</v>
      </c>
      <c r="M26" s="7" t="n">
        <f aca="false">SUMPRODUCT((region_annual_ha!$A$2:$A$85=$A26)*(region_annual_ha!$B$2:$B$85="fors")*(region_annual_ha!$D$1:$Z$1&gt;=periods!$B$4)*(region_annual_ha!$D$1:$Z$1&lt;=periods!$C$4)*region_annual_ha!$D$2:$Z$85)</f>
        <v>28.2678292853075</v>
      </c>
      <c r="N26" s="7" t="n">
        <f aca="false">SUMPRODUCT((region_annual_ha!$A$2:$A$85=$A26)*(region_annual_ha!$B$2:$B$85="fors")*(region_annual_ha!$D$1:$Z$1&gt;=periods!$B$5)*(region_annual_ha!$D$1:$Z$1&lt;=periods!$C$5)*region_annual_ha!$D$2:$Z$85)</f>
        <v>9.66120259177179</v>
      </c>
      <c r="O26" s="7" t="n">
        <f aca="false">C26+G26+K26</f>
        <v>452.924324246515</v>
      </c>
      <c r="P26" s="7" t="n">
        <f aca="false">D26+H26+L26</f>
        <v>806.690043235797</v>
      </c>
      <c r="Q26" s="7" t="n">
        <f aca="false">E26+I26+M26</f>
        <v>742.075979049336</v>
      </c>
      <c r="R26" s="7" t="n">
        <f aca="false">F26+J26+N26</f>
        <v>28.17327776979</v>
      </c>
    </row>
    <row r="27" customFormat="false" ht="15" hidden="false" customHeight="false" outlineLevel="0" collapsed="false">
      <c r="A27" s="4" t="s">
        <v>79</v>
      </c>
      <c r="B27" s="4" t="s">
        <v>80</v>
      </c>
      <c r="C27" s="7" t="n">
        <f aca="false">SUMPRODUCT((region_annual_ha!$A$2:$A$85=$A27)*(region_annual_ha!$B$2:$B$85="crop")*(region_annual_ha!$D$1:$Z$1&gt;=periods!$B$2)*(region_annual_ha!$D$1:$Z$1&lt;=periods!$C$2)*region_annual_ha!$D$2:$Z$85)</f>
        <v>2163658.59726909</v>
      </c>
      <c r="D27" s="7" t="n">
        <f aca="false">SUMPRODUCT((region_annual_ha!$A$2:$A$85=$A27)*(region_annual_ha!$B$2:$B$85="crop")*(region_annual_ha!$D$1:$Z$1&gt;=periods!$B$3)*(region_annual_ha!$D$1:$Z$1&lt;=periods!$C$3)*region_annual_ha!$D$2:$Z$85)</f>
        <v>2764582.14948915</v>
      </c>
      <c r="E27" s="7" t="n">
        <f aca="false">SUMPRODUCT((region_annual_ha!$A$2:$A$85=$A27)*(region_annual_ha!$B$2:$B$85="crop")*(region_annual_ha!$D$1:$Z$1&gt;=periods!$B$4)*(region_annual_ha!$D$1:$Z$1&lt;=periods!$C$4)*region_annual_ha!$D$2:$Z$85)</f>
        <v>2812051.21134584</v>
      </c>
      <c r="F27" s="7" t="n">
        <f aca="false">SUMPRODUCT((region_annual_ha!$A$2:$A$85=$A27)*(region_annual_ha!$B$2:$B$85="crop")*(region_annual_ha!$D$1:$Z$1&gt;=periods!$B$5)*(region_annual_ha!$D$1:$Z$1&lt;=periods!$C$5)*region_annual_ha!$D$2:$Z$85)</f>
        <v>990941.682557663</v>
      </c>
      <c r="G27" s="7" t="n">
        <f aca="false">SUMPRODUCT((region_annual_ha!$A$2:$A$85=$A27)*(region_annual_ha!$B$2:$B$85="live")*(region_annual_ha!$D$1:$Z$1&gt;=periods!$B$2)*(region_annual_ha!$D$1:$Z$1&lt;=periods!$C$2)*region_annual_ha!$D$2:$Z$85)</f>
        <v>1432166.33681958</v>
      </c>
      <c r="H27" s="7" t="n">
        <f aca="false">SUMPRODUCT((region_annual_ha!$A$2:$A$85=$A27)*(region_annual_ha!$B$2:$B$85="live")*(region_annual_ha!$D$1:$Z$1&gt;=periods!$B$3)*(region_annual_ha!$D$1:$Z$1&lt;=periods!$C$3)*region_annual_ha!$D$2:$Z$85)</f>
        <v>1690245.34435383</v>
      </c>
      <c r="I27" s="7" t="n">
        <f aca="false">SUMPRODUCT((region_annual_ha!$A$2:$A$85=$A27)*(region_annual_ha!$B$2:$B$85="live")*(region_annual_ha!$D$1:$Z$1&gt;=periods!$B$4)*(region_annual_ha!$D$1:$Z$1&lt;=periods!$C$4)*region_annual_ha!$D$2:$Z$85)</f>
        <v>2053842.42701809</v>
      </c>
      <c r="J27" s="7" t="n">
        <f aca="false">SUMPRODUCT((region_annual_ha!$A$2:$A$85=$A27)*(region_annual_ha!$B$2:$B$85="live")*(region_annual_ha!$D$1:$Z$1&gt;=periods!$B$5)*(region_annual_ha!$D$1:$Z$1&lt;=periods!$C$5)*region_annual_ha!$D$2:$Z$85)</f>
        <v>875435.731286708</v>
      </c>
      <c r="K27" s="7" t="n">
        <f aca="false">SUMPRODUCT((region_annual_ha!$A$2:$A$85=$A27)*(region_annual_ha!$B$2:$B$85="fors")*(region_annual_ha!$D$1:$Z$1&gt;=periods!$B$2)*(region_annual_ha!$D$1:$Z$1&lt;=periods!$C$2)*region_annual_ha!$D$2:$Z$85)</f>
        <v>71975.863411619</v>
      </c>
      <c r="L27" s="7" t="n">
        <f aca="false">SUMPRODUCT((region_annual_ha!$A$2:$A$85=$A27)*(region_annual_ha!$B$2:$B$85="fors")*(region_annual_ha!$D$1:$Z$1&gt;=periods!$B$3)*(region_annual_ha!$D$1:$Z$1&lt;=periods!$C$3)*region_annual_ha!$D$2:$Z$85)</f>
        <v>181340.527666986</v>
      </c>
      <c r="M27" s="7" t="n">
        <f aca="false">SUMPRODUCT((region_annual_ha!$A$2:$A$85=$A27)*(region_annual_ha!$B$2:$B$85="fors")*(region_annual_ha!$D$1:$Z$1&gt;=periods!$B$4)*(region_annual_ha!$D$1:$Z$1&lt;=periods!$C$4)*region_annual_ha!$D$2:$Z$85)</f>
        <v>207184.878257648</v>
      </c>
      <c r="N27" s="7" t="n">
        <f aca="false">SUMPRODUCT((region_annual_ha!$A$2:$A$85=$A27)*(region_annual_ha!$B$2:$B$85="fors")*(region_annual_ha!$D$1:$Z$1&gt;=periods!$B$5)*(region_annual_ha!$D$1:$Z$1&lt;=periods!$C$5)*region_annual_ha!$D$2:$Z$85)</f>
        <v>123472.840487603</v>
      </c>
      <c r="O27" s="7" t="n">
        <f aca="false">C27+G27+K27</f>
        <v>3667800.79750029</v>
      </c>
      <c r="P27" s="7" t="n">
        <f aca="false">D27+H27+L27</f>
        <v>4636168.02150997</v>
      </c>
      <c r="Q27" s="7" t="n">
        <f aca="false">E27+I27+M27</f>
        <v>5073078.51662158</v>
      </c>
      <c r="R27" s="7" t="n">
        <f aca="false">F27+J27+N27</f>
        <v>1989850.25433197</v>
      </c>
    </row>
    <row r="28" customFormat="false" ht="15" hidden="false" customHeight="false" outlineLevel="0" collapsed="false">
      <c r="A28" s="4" t="s">
        <v>81</v>
      </c>
      <c r="B28" s="4" t="s">
        <v>82</v>
      </c>
      <c r="C28" s="7" t="n">
        <f aca="false">SUMPRODUCT((region_annual_ha!$A$2:$A$85=$A28)*(region_annual_ha!$B$2:$B$85="crop")*(region_annual_ha!$D$1:$Z$1&gt;=periods!$B$2)*(region_annual_ha!$D$1:$Z$1&lt;=periods!$C$2)*region_annual_ha!$D$2:$Z$85)</f>
        <v>566352.757729288</v>
      </c>
      <c r="D28" s="7" t="n">
        <f aca="false">SUMPRODUCT((region_annual_ha!$A$2:$A$85=$A28)*(region_annual_ha!$B$2:$B$85="crop")*(region_annual_ha!$D$1:$Z$1&gt;=periods!$B$3)*(region_annual_ha!$D$1:$Z$1&lt;=periods!$C$3)*region_annual_ha!$D$2:$Z$85)</f>
        <v>1158598.04613314</v>
      </c>
      <c r="E28" s="7" t="n">
        <f aca="false">SUMPRODUCT((region_annual_ha!$A$2:$A$85=$A28)*(region_annual_ha!$B$2:$B$85="crop")*(region_annual_ha!$D$1:$Z$1&gt;=periods!$B$4)*(region_annual_ha!$D$1:$Z$1&lt;=periods!$C$4)*region_annual_ha!$D$2:$Z$85)</f>
        <v>1104901.27152922</v>
      </c>
      <c r="F28" s="7" t="n">
        <f aca="false">SUMPRODUCT((region_annual_ha!$A$2:$A$85=$A28)*(region_annual_ha!$B$2:$B$85="crop")*(region_annual_ha!$D$1:$Z$1&gt;=periods!$B$5)*(region_annual_ha!$D$1:$Z$1&lt;=periods!$C$5)*region_annual_ha!$D$2:$Z$85)</f>
        <v>520718.29508227</v>
      </c>
      <c r="G28" s="7" t="n">
        <f aca="false">SUMPRODUCT((region_annual_ha!$A$2:$A$85=$A28)*(region_annual_ha!$B$2:$B$85="live")*(region_annual_ha!$D$1:$Z$1&gt;=periods!$B$2)*(region_annual_ha!$D$1:$Z$1&lt;=periods!$C$2)*region_annual_ha!$D$2:$Z$85)</f>
        <v>74459.6175693319</v>
      </c>
      <c r="H28" s="7" t="n">
        <f aca="false">SUMPRODUCT((region_annual_ha!$A$2:$A$85=$A28)*(region_annual_ha!$B$2:$B$85="live")*(region_annual_ha!$D$1:$Z$1&gt;=periods!$B$3)*(region_annual_ha!$D$1:$Z$1&lt;=periods!$C$3)*region_annual_ha!$D$2:$Z$85)</f>
        <v>252723.395830527</v>
      </c>
      <c r="I28" s="7" t="n">
        <f aca="false">SUMPRODUCT((region_annual_ha!$A$2:$A$85=$A28)*(region_annual_ha!$B$2:$B$85="live")*(region_annual_ha!$D$1:$Z$1&gt;=periods!$B$4)*(region_annual_ha!$D$1:$Z$1&lt;=periods!$C$4)*region_annual_ha!$D$2:$Z$85)</f>
        <v>371307.780082421</v>
      </c>
      <c r="J28" s="7" t="n">
        <f aca="false">SUMPRODUCT((region_annual_ha!$A$2:$A$85=$A28)*(region_annual_ha!$B$2:$B$85="live")*(region_annual_ha!$D$1:$Z$1&gt;=periods!$B$5)*(region_annual_ha!$D$1:$Z$1&lt;=periods!$C$5)*region_annual_ha!$D$2:$Z$85)</f>
        <v>237051.138392763</v>
      </c>
      <c r="K28" s="7" t="n">
        <f aca="false">SUMPRODUCT((region_annual_ha!$A$2:$A$85=$A28)*(region_annual_ha!$B$2:$B$85="fors")*(region_annual_ha!$D$1:$Z$1&gt;=periods!$B$2)*(region_annual_ha!$D$1:$Z$1&lt;=periods!$C$2)*region_annual_ha!$D$2:$Z$85)</f>
        <v>78127.6341637399</v>
      </c>
      <c r="L28" s="7" t="n">
        <f aca="false">SUMPRODUCT((region_annual_ha!$A$2:$A$85=$A28)*(region_annual_ha!$B$2:$B$85="fors")*(region_annual_ha!$D$1:$Z$1&gt;=periods!$B$3)*(region_annual_ha!$D$1:$Z$1&lt;=periods!$C$3)*region_annual_ha!$D$2:$Z$85)</f>
        <v>308468.931822537</v>
      </c>
      <c r="M28" s="7" t="n">
        <f aca="false">SUMPRODUCT((region_annual_ha!$A$2:$A$85=$A28)*(region_annual_ha!$B$2:$B$85="fors")*(region_annual_ha!$D$1:$Z$1&gt;=periods!$B$4)*(region_annual_ha!$D$1:$Z$1&lt;=periods!$C$4)*region_annual_ha!$D$2:$Z$85)</f>
        <v>300315.156050516</v>
      </c>
      <c r="N28" s="7" t="n">
        <f aca="false">SUMPRODUCT((region_annual_ha!$A$2:$A$85=$A28)*(region_annual_ha!$B$2:$B$85="fors")*(region_annual_ha!$D$1:$Z$1&gt;=periods!$B$5)*(region_annual_ha!$D$1:$Z$1&lt;=periods!$C$5)*region_annual_ha!$D$2:$Z$85)</f>
        <v>166916.052006649</v>
      </c>
      <c r="O28" s="7" t="n">
        <f aca="false">C28+G28+K28</f>
        <v>718940.00946236</v>
      </c>
      <c r="P28" s="7" t="n">
        <f aca="false">D28+H28+L28</f>
        <v>1719790.3737862</v>
      </c>
      <c r="Q28" s="7" t="n">
        <f aca="false">E28+I28+M28</f>
        <v>1776524.20766216</v>
      </c>
      <c r="R28" s="7" t="n">
        <f aca="false">F28+J28+N28</f>
        <v>924685.485481683</v>
      </c>
    </row>
    <row r="29" customFormat="false" ht="15" hidden="false" customHeight="false" outlineLevel="0" collapsed="false">
      <c r="A29" s="4" t="s">
        <v>83</v>
      </c>
      <c r="B29" s="4" t="s">
        <v>84</v>
      </c>
      <c r="C29" s="7" t="n">
        <f aca="false">SUMPRODUCT((region_annual_ha!$A$2:$A$85=$A29)*(region_annual_ha!$B$2:$B$85="crop")*(region_annual_ha!$D$1:$Z$1&gt;=periods!$B$2)*(region_annual_ha!$D$1:$Z$1&lt;=periods!$C$2)*region_annual_ha!$D$2:$Z$85)</f>
        <v>756.11487114632</v>
      </c>
      <c r="D29" s="7" t="n">
        <f aca="false">SUMPRODUCT((region_annual_ha!$A$2:$A$85=$A29)*(region_annual_ha!$B$2:$B$85="crop")*(region_annual_ha!$D$1:$Z$1&gt;=periods!$B$3)*(region_annual_ha!$D$1:$Z$1&lt;=periods!$C$3)*region_annual_ha!$D$2:$Z$85)</f>
        <v>614.231280583068</v>
      </c>
      <c r="E29" s="7" t="n">
        <f aca="false">SUMPRODUCT((region_annual_ha!$A$2:$A$85=$A29)*(region_annual_ha!$B$2:$B$85="crop")*(region_annual_ha!$D$1:$Z$1&gt;=periods!$B$4)*(region_annual_ha!$D$1:$Z$1&lt;=periods!$C$4)*region_annual_ha!$D$2:$Z$85)</f>
        <v>1354.47207978732</v>
      </c>
      <c r="F29" s="7" t="n">
        <f aca="false">SUMPRODUCT((region_annual_ha!$A$2:$A$85=$A29)*(region_annual_ha!$B$2:$B$85="crop")*(region_annual_ha!$D$1:$Z$1&gt;=periods!$B$5)*(region_annual_ha!$D$1:$Z$1&lt;=periods!$C$5)*region_annual_ha!$D$2:$Z$85)</f>
        <v>81.6937163842833</v>
      </c>
      <c r="G29" s="7" t="n">
        <f aca="false">SUMPRODUCT((region_annual_ha!$A$2:$A$85=$A29)*(region_annual_ha!$B$2:$B$85="live")*(region_annual_ha!$D$1:$Z$1&gt;=periods!$B$2)*(region_annual_ha!$D$1:$Z$1&lt;=periods!$C$2)*region_annual_ha!$D$2:$Z$85)</f>
        <v>1124.43533179852</v>
      </c>
      <c r="H29" s="7" t="n">
        <f aca="false">SUMPRODUCT((region_annual_ha!$A$2:$A$85=$A29)*(region_annual_ha!$B$2:$B$85="live")*(region_annual_ha!$D$1:$Z$1&gt;=periods!$B$3)*(region_annual_ha!$D$1:$Z$1&lt;=periods!$C$3)*region_annual_ha!$D$2:$Z$85)</f>
        <v>1197.79297256585</v>
      </c>
      <c r="I29" s="7" t="n">
        <f aca="false">SUMPRODUCT((region_annual_ha!$A$2:$A$85=$A29)*(region_annual_ha!$B$2:$B$85="live")*(region_annual_ha!$D$1:$Z$1&gt;=periods!$B$4)*(region_annual_ha!$D$1:$Z$1&lt;=periods!$C$4)*region_annual_ha!$D$2:$Z$85)</f>
        <v>896.048154663844</v>
      </c>
      <c r="J29" s="7" t="n">
        <f aca="false">SUMPRODUCT((region_annual_ha!$A$2:$A$85=$A29)*(region_annual_ha!$B$2:$B$85="live")*(region_annual_ha!$D$1:$Z$1&gt;=periods!$B$5)*(region_annual_ha!$D$1:$Z$1&lt;=periods!$C$5)*region_annual_ha!$D$2:$Z$85)</f>
        <v>278.155778116904</v>
      </c>
      <c r="K29" s="7" t="n">
        <f aca="false">SUMPRODUCT((region_annual_ha!$A$2:$A$85=$A29)*(region_annual_ha!$B$2:$B$85="fors")*(region_annual_ha!$D$1:$Z$1&gt;=periods!$B$2)*(region_annual_ha!$D$1:$Z$1&lt;=periods!$C$2)*region_annual_ha!$D$2:$Z$85)</f>
        <v>17684.8571765717</v>
      </c>
      <c r="L29" s="7" t="n">
        <f aca="false">SUMPRODUCT((region_annual_ha!$A$2:$A$85=$A29)*(region_annual_ha!$B$2:$B$85="fors")*(region_annual_ha!$D$1:$Z$1&gt;=periods!$B$3)*(region_annual_ha!$D$1:$Z$1&lt;=periods!$C$3)*region_annual_ha!$D$2:$Z$85)</f>
        <v>16356.8556908461</v>
      </c>
      <c r="M29" s="7" t="n">
        <f aca="false">SUMPRODUCT((region_annual_ha!$A$2:$A$85=$A29)*(region_annual_ha!$B$2:$B$85="fors")*(region_annual_ha!$D$1:$Z$1&gt;=periods!$B$4)*(region_annual_ha!$D$1:$Z$1&lt;=periods!$C$4)*region_annual_ha!$D$2:$Z$85)</f>
        <v>0</v>
      </c>
      <c r="N29" s="7" t="n">
        <f aca="false">SUMPRODUCT((region_annual_ha!$A$2:$A$85=$A29)*(region_annual_ha!$B$2:$B$85="fors")*(region_annual_ha!$D$1:$Z$1&gt;=periods!$B$5)*(region_annual_ha!$D$1:$Z$1&lt;=periods!$C$5)*region_annual_ha!$D$2:$Z$85)</f>
        <v>0</v>
      </c>
      <c r="O29" s="7" t="n">
        <f aca="false">C29+G29+K29</f>
        <v>19565.4073795165</v>
      </c>
      <c r="P29" s="7" t="n">
        <f aca="false">D29+H29+L29</f>
        <v>18168.879943995</v>
      </c>
      <c r="Q29" s="7" t="n">
        <f aca="false">E29+I29+M29</f>
        <v>2250.52023445116</v>
      </c>
      <c r="R29" s="7" t="n">
        <f aca="false">F29+J29+N29</f>
        <v>359.849494501187</v>
      </c>
    </row>
    <row r="30" customFormat="false" ht="15" hidden="false" customHeight="false" outlineLevel="0" collapsed="false">
      <c r="A30" s="4" t="s">
        <v>85</v>
      </c>
      <c r="B30" s="4" t="s">
        <v>86</v>
      </c>
      <c r="C30" s="7" t="n">
        <f aca="false">SUMPRODUCT((region_annual_ha!$A$2:$A$85=$A30)*(region_annual_ha!$B$2:$B$85="crop")*(region_annual_ha!$D$1:$Z$1&gt;=periods!$B$2)*(region_annual_ha!$D$1:$Z$1&lt;=periods!$C$2)*region_annual_ha!$D$2:$Z$85)</f>
        <v>2147629.56166702</v>
      </c>
      <c r="D30" s="7" t="n">
        <f aca="false">SUMPRODUCT((region_annual_ha!$A$2:$A$85=$A30)*(region_annual_ha!$B$2:$B$85="crop")*(region_annual_ha!$D$1:$Z$1&gt;=periods!$B$3)*(region_annual_ha!$D$1:$Z$1&lt;=periods!$C$3)*region_annual_ha!$D$2:$Z$85)</f>
        <v>3195530.80191398</v>
      </c>
      <c r="E30" s="7" t="n">
        <f aca="false">SUMPRODUCT((region_annual_ha!$A$2:$A$85=$A30)*(region_annual_ha!$B$2:$B$85="crop")*(region_annual_ha!$D$1:$Z$1&gt;=periods!$B$4)*(region_annual_ha!$D$1:$Z$1&lt;=periods!$C$4)*region_annual_ha!$D$2:$Z$85)</f>
        <v>1393536.48875643</v>
      </c>
      <c r="F30" s="7" t="n">
        <f aca="false">SUMPRODUCT((region_annual_ha!$A$2:$A$85=$A30)*(region_annual_ha!$B$2:$B$85="crop")*(region_annual_ha!$D$1:$Z$1&gt;=periods!$B$5)*(region_annual_ha!$D$1:$Z$1&lt;=periods!$C$5)*region_annual_ha!$D$2:$Z$85)</f>
        <v>254798.84589927</v>
      </c>
      <c r="G30" s="7" t="n">
        <f aca="false">SUMPRODUCT((region_annual_ha!$A$2:$A$85=$A30)*(region_annual_ha!$B$2:$B$85="live")*(region_annual_ha!$D$1:$Z$1&gt;=periods!$B$2)*(region_annual_ha!$D$1:$Z$1&lt;=periods!$C$2)*region_annual_ha!$D$2:$Z$85)</f>
        <v>16480.2409663959</v>
      </c>
      <c r="H30" s="7" t="n">
        <f aca="false">SUMPRODUCT((region_annual_ha!$A$2:$A$85=$A30)*(region_annual_ha!$B$2:$B$85="live")*(region_annual_ha!$D$1:$Z$1&gt;=periods!$B$3)*(region_annual_ha!$D$1:$Z$1&lt;=periods!$C$3)*region_annual_ha!$D$2:$Z$85)</f>
        <v>69000.7501994884</v>
      </c>
      <c r="I30" s="7" t="n">
        <f aca="false">SUMPRODUCT((region_annual_ha!$A$2:$A$85=$A30)*(region_annual_ha!$B$2:$B$85="live")*(region_annual_ha!$D$1:$Z$1&gt;=periods!$B$4)*(region_annual_ha!$D$1:$Z$1&lt;=periods!$C$4)*region_annual_ha!$D$2:$Z$85)</f>
        <v>42366.7263853795</v>
      </c>
      <c r="J30" s="7" t="n">
        <f aca="false">SUMPRODUCT((region_annual_ha!$A$2:$A$85=$A30)*(region_annual_ha!$B$2:$B$85="live")*(region_annual_ha!$D$1:$Z$1&gt;=periods!$B$5)*(region_annual_ha!$D$1:$Z$1&lt;=periods!$C$5)*region_annual_ha!$D$2:$Z$85)</f>
        <v>31021.4665657001</v>
      </c>
      <c r="K30" s="7" t="n">
        <f aca="false">SUMPRODUCT((region_annual_ha!$A$2:$A$85=$A30)*(region_annual_ha!$B$2:$B$85="fors")*(region_annual_ha!$D$1:$Z$1&gt;=periods!$B$2)*(region_annual_ha!$D$1:$Z$1&lt;=periods!$C$2)*region_annual_ha!$D$2:$Z$85)</f>
        <v>235270.609596163</v>
      </c>
      <c r="L30" s="7" t="n">
        <f aca="false">SUMPRODUCT((region_annual_ha!$A$2:$A$85=$A30)*(region_annual_ha!$B$2:$B$85="fors")*(region_annual_ha!$D$1:$Z$1&gt;=periods!$B$3)*(region_annual_ha!$D$1:$Z$1&lt;=periods!$C$3)*region_annual_ha!$D$2:$Z$85)</f>
        <v>381921.775060764</v>
      </c>
      <c r="M30" s="7" t="n">
        <f aca="false">SUMPRODUCT((region_annual_ha!$A$2:$A$85=$A30)*(region_annual_ha!$B$2:$B$85="fors")*(region_annual_ha!$D$1:$Z$1&gt;=periods!$B$4)*(region_annual_ha!$D$1:$Z$1&lt;=periods!$C$4)*region_annual_ha!$D$2:$Z$85)</f>
        <v>214540.954256977</v>
      </c>
      <c r="N30" s="7" t="n">
        <f aca="false">SUMPRODUCT((region_annual_ha!$A$2:$A$85=$A30)*(region_annual_ha!$B$2:$B$85="fors")*(region_annual_ha!$D$1:$Z$1&gt;=periods!$B$5)*(region_annual_ha!$D$1:$Z$1&lt;=periods!$C$5)*region_annual_ha!$D$2:$Z$85)</f>
        <v>22093.1493682988</v>
      </c>
      <c r="O30" s="7" t="n">
        <f aca="false">C30+G30+K30</f>
        <v>2399380.41222958</v>
      </c>
      <c r="P30" s="7" t="n">
        <f aca="false">D30+H30+L30</f>
        <v>3646453.32717423</v>
      </c>
      <c r="Q30" s="7" t="n">
        <f aca="false">E30+I30+M30</f>
        <v>1650444.16939879</v>
      </c>
      <c r="R30" s="7" t="n">
        <f aca="false">F30+J30+N30</f>
        <v>307913.461833269</v>
      </c>
    </row>
    <row r="31" customFormat="false" ht="15" hidden="false" customHeight="false" outlineLevel="0" collapsed="false">
      <c r="A31" s="1" t="s">
        <v>87</v>
      </c>
      <c r="B31" s="1" t="s">
        <v>88</v>
      </c>
      <c r="C31" s="8" t="n">
        <f aca="false">SUM(C3:C30)</f>
        <v>9881689.10257902</v>
      </c>
      <c r="D31" s="8" t="n">
        <f aca="false">SUM(D3:D30)</f>
        <v>15436264.6693379</v>
      </c>
      <c r="E31" s="8" t="n">
        <f aca="false">SUM(E3:E30)</f>
        <v>13813094.4968333</v>
      </c>
      <c r="F31" s="8" t="n">
        <f aca="false">SUM(F3:F30)</f>
        <v>6240746.46685755</v>
      </c>
      <c r="G31" s="8" t="n">
        <f aca="false">SUM(G3:G30)</f>
        <v>5961354.90427341</v>
      </c>
      <c r="H31" s="8" t="n">
        <f aca="false">SUM(H3:H30)</f>
        <v>8832781.83867378</v>
      </c>
      <c r="I31" s="8" t="n">
        <f aca="false">SUM(I3:I30)</f>
        <v>12303392.6727971</v>
      </c>
      <c r="J31" s="8" t="n">
        <f aca="false">SUM(J3:J30)</f>
        <v>6913965.24836673</v>
      </c>
      <c r="K31" s="8" t="n">
        <f aca="false">SUM(K3:K30)</f>
        <v>1956118.29912359</v>
      </c>
      <c r="L31" s="8" t="n">
        <f aca="false">SUM(L3:L30)</f>
        <v>3516090.68905983</v>
      </c>
      <c r="M31" s="8" t="n">
        <f aca="false">SUM(M3:M30)</f>
        <v>3204946.93310918</v>
      </c>
      <c r="N31" s="8" t="n">
        <f aca="false">SUM(N3:N30)</f>
        <v>1764410.03222677</v>
      </c>
      <c r="O31" s="8" t="n">
        <f aca="false">C31+G31+K31</f>
        <v>17799162.305976</v>
      </c>
      <c r="P31" s="8" t="n">
        <f aca="false">D31+H31+L31</f>
        <v>27785137.1970715</v>
      </c>
      <c r="Q31" s="8" t="n">
        <f aca="false">E31+I31+M31</f>
        <v>29321434.1027395</v>
      </c>
      <c r="R31" s="8" t="n">
        <f aca="false">F31+J31+N31</f>
        <v>14919121.7474511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30"/>
  </cols>
  <sheetData>
    <row r="1" customFormat="false" ht="23.85" hidden="false" customHeight="false" outlineLevel="0" collapsed="false">
      <c r="A1" s="3" t="s">
        <v>28</v>
      </c>
      <c r="B1" s="3" t="s">
        <v>90</v>
      </c>
      <c r="C1" s="3" t="s">
        <v>29</v>
      </c>
      <c r="D1" s="9" t="n">
        <v>2001</v>
      </c>
      <c r="E1" s="9" t="n">
        <v>2002</v>
      </c>
      <c r="F1" s="9" t="n">
        <v>2003</v>
      </c>
      <c r="G1" s="9" t="n">
        <v>2004</v>
      </c>
      <c r="H1" s="9" t="n">
        <v>2005</v>
      </c>
      <c r="I1" s="9" t="n">
        <v>2006</v>
      </c>
      <c r="J1" s="9" t="n">
        <v>2007</v>
      </c>
      <c r="K1" s="9" t="n">
        <v>2008</v>
      </c>
      <c r="L1" s="9" t="n">
        <v>2009</v>
      </c>
      <c r="M1" s="9" t="n">
        <v>2010</v>
      </c>
      <c r="N1" s="9" t="n">
        <v>2011</v>
      </c>
      <c r="O1" s="9" t="n">
        <v>2012</v>
      </c>
      <c r="P1" s="9" t="n">
        <v>2013</v>
      </c>
      <c r="Q1" s="9" t="n">
        <v>2014</v>
      </c>
      <c r="R1" s="9" t="n">
        <v>2015</v>
      </c>
      <c r="S1" s="9" t="n">
        <v>2016</v>
      </c>
      <c r="T1" s="9" t="n">
        <v>2017</v>
      </c>
      <c r="U1" s="9" t="n">
        <v>2018</v>
      </c>
      <c r="V1" s="9" t="n">
        <v>2019</v>
      </c>
      <c r="W1" s="9" t="n">
        <v>2020</v>
      </c>
      <c r="X1" s="9" t="n">
        <v>2021</v>
      </c>
      <c r="Y1" s="9" t="n">
        <v>2022</v>
      </c>
      <c r="Z1" s="9" t="n">
        <v>2023</v>
      </c>
    </row>
    <row r="2" customFormat="false" ht="15" hidden="false" customHeight="false" outlineLevel="0" collapsed="false">
      <c r="A2" s="4" t="s">
        <v>31</v>
      </c>
      <c r="B2" s="4" t="s">
        <v>91</v>
      </c>
      <c r="C2" s="4" t="s">
        <v>32</v>
      </c>
      <c r="D2" s="7" t="n">
        <f aca="false">SUMIFS(country_annual_ha!F$2:F$556,country_annual_ha!$D$2:$D$556,$A2,country_annual_ha!$E$2:$E$556,$B2)</f>
        <v>23529.301432586</v>
      </c>
      <c r="E2" s="7" t="n">
        <f aca="false">SUMIFS(country_annual_ha!G$2:G$556,country_annual_ha!$D$2:$D$556,$A2,country_annual_ha!$E$2:$E$556,$B2)</f>
        <v>14457.5700330376</v>
      </c>
      <c r="F2" s="7" t="n">
        <f aca="false">SUMIFS(country_annual_ha!H$2:H$556,country_annual_ha!$D$2:$D$556,$A2,country_annual_ha!$E$2:$E$556,$B2)</f>
        <v>10152.6749142016</v>
      </c>
      <c r="G2" s="7" t="n">
        <f aca="false">SUMIFS(country_annual_ha!I$2:I$556,country_annual_ha!$D$2:$D$556,$A2,country_annual_ha!$E$2:$E$556,$B2)</f>
        <v>11720.6520748279</v>
      </c>
      <c r="H2" s="7" t="n">
        <f aca="false">SUMIFS(country_annual_ha!J$2:J$556,country_annual_ha!$D$2:$D$556,$A2,country_annual_ha!$E$2:$E$556,$B2)</f>
        <v>14755.0890055409</v>
      </c>
      <c r="I2" s="7" t="n">
        <f aca="false">SUMIFS(country_annual_ha!K$2:K$556,country_annual_ha!$D$2:$D$556,$A2,country_annual_ha!$E$2:$E$556,$B2)</f>
        <v>14726.4860268742</v>
      </c>
      <c r="J2" s="7" t="n">
        <f aca="false">SUMIFS(country_annual_ha!L$2:L$556,country_annual_ha!$D$2:$D$556,$A2,country_annual_ha!$E$2:$E$556,$B2)</f>
        <v>14215.7111865877</v>
      </c>
      <c r="K2" s="7" t="n">
        <f aca="false">SUMIFS(country_annual_ha!M$2:M$556,country_annual_ha!$D$2:$D$556,$A2,country_annual_ha!$E$2:$E$556,$B2)</f>
        <v>18450.2967830686</v>
      </c>
      <c r="L2" s="7" t="n">
        <f aca="false">SUMIFS(country_annual_ha!N$2:N$556,country_annual_ha!$D$2:$D$556,$A2,country_annual_ha!$E$2:$E$556,$B2)</f>
        <v>14859.6158315903</v>
      </c>
      <c r="M2" s="7" t="n">
        <f aca="false">SUMIFS(country_annual_ha!O$2:O$556,country_annual_ha!$D$2:$D$556,$A2,country_annual_ha!$E$2:$E$556,$B2)</f>
        <v>19596.8533512665</v>
      </c>
      <c r="N2" s="7" t="n">
        <f aca="false">SUMIFS(country_annual_ha!P$2:P$556,country_annual_ha!$D$2:$D$556,$A2,country_annual_ha!$E$2:$E$556,$B2)</f>
        <v>18866.4577723579</v>
      </c>
      <c r="O2" s="7" t="n">
        <f aca="false">SUMIFS(country_annual_ha!Q$2:Q$556,country_annual_ha!$D$2:$D$556,$A2,country_annual_ha!$E$2:$E$556,$B2)</f>
        <v>81011.2072746443</v>
      </c>
      <c r="P2" s="7" t="n">
        <f aca="false">SUMIFS(country_annual_ha!R$2:R$556,country_annual_ha!$D$2:$D$556,$A2,country_annual_ha!$E$2:$E$556,$B2)</f>
        <v>54801.1801490464</v>
      </c>
      <c r="Q2" s="7" t="n">
        <f aca="false">SUMIFS(country_annual_ha!S$2:S$556,country_annual_ha!$D$2:$D$556,$A2,country_annual_ha!$E$2:$E$556,$B2)</f>
        <v>60780.0288446588</v>
      </c>
      <c r="R2" s="7" t="n">
        <f aca="false">SUMIFS(country_annual_ha!T$2:T$556,country_annual_ha!$D$2:$D$556,$A2,country_annual_ha!$E$2:$E$556,$B2)</f>
        <v>27510.7086360904</v>
      </c>
      <c r="S2" s="7" t="n">
        <f aca="false">SUMIFS(country_annual_ha!U$2:U$556,country_annual_ha!$D$2:$D$556,$A2,country_annual_ha!$E$2:$E$556,$B2)</f>
        <v>45285.3966659311</v>
      </c>
      <c r="T2" s="7" t="n">
        <f aca="false">SUMIFS(country_annual_ha!V$2:V$556,country_annual_ha!$D$2:$D$556,$A2,country_annual_ha!$E$2:$E$556,$B2)</f>
        <v>40330.7729776478</v>
      </c>
      <c r="U2" s="7" t="n">
        <f aca="false">SUMIFS(country_annual_ha!W$2:W$556,country_annual_ha!$D$2:$D$556,$A2,country_annual_ha!$E$2:$E$556,$B2)</f>
        <v>19230.4964328844</v>
      </c>
      <c r="V2" s="7" t="n">
        <f aca="false">SUMIFS(country_annual_ha!X$2:X$556,country_annual_ha!$D$2:$D$556,$A2,country_annual_ha!$E$2:$E$556,$B2)</f>
        <v>8233.80423753705</v>
      </c>
      <c r="W2" s="7" t="n">
        <f aca="false">SUMIFS(country_annual_ha!Y$2:Y$556,country_annual_ha!$D$2:$D$556,$A2,country_annual_ha!$E$2:$E$556,$B2)</f>
        <v>0</v>
      </c>
      <c r="X2" s="7" t="n">
        <f aca="false">SUMIFS(country_annual_ha!Z$2:Z$556,country_annual_ha!$D$2:$D$556,$A2,country_annual_ha!$E$2:$E$556,$B2)</f>
        <v>0</v>
      </c>
      <c r="Y2" s="7" t="n">
        <f aca="false">SUMIFS(country_annual_ha!AA$2:AA$556,country_annual_ha!$D$2:$D$556,$A2,country_annual_ha!$E$2:$E$556,$B2)</f>
        <v>13782.5143057095</v>
      </c>
      <c r="Z2" s="7" t="n">
        <f aca="false">SUMIFS(country_annual_ha!AB$2:AB$556,country_annual_ha!$D$2:$D$556,$A2,country_annual_ha!$E$2:$E$556,$B2)</f>
        <v>6218.98891213346</v>
      </c>
    </row>
    <row r="3" customFormat="false" ht="15" hidden="false" customHeight="false" outlineLevel="0" collapsed="false">
      <c r="A3" s="4" t="s">
        <v>31</v>
      </c>
      <c r="B3" s="4" t="s">
        <v>92</v>
      </c>
      <c r="C3" s="4" t="s">
        <v>32</v>
      </c>
      <c r="D3" s="7" t="n">
        <f aca="false">SUMIFS(country_annual_ha!F$2:F$556,country_annual_ha!$D$2:$D$556,$A3,country_annual_ha!$E$2:$E$556,$B3)</f>
        <v>70483.0177093073</v>
      </c>
      <c r="E3" s="7" t="n">
        <f aca="false">SUMIFS(country_annual_ha!G$2:G$556,country_annual_ha!$D$2:$D$556,$A3,country_annual_ha!$E$2:$E$556,$B3)</f>
        <v>63805.7501350688</v>
      </c>
      <c r="F3" s="7" t="n">
        <f aca="false">SUMIFS(country_annual_ha!H$2:H$556,country_annual_ha!$D$2:$D$556,$A3,country_annual_ha!$E$2:$E$556,$B3)</f>
        <v>51594.6033541791</v>
      </c>
      <c r="G3" s="7" t="n">
        <f aca="false">SUMIFS(country_annual_ha!I$2:I$556,country_annual_ha!$D$2:$D$556,$A3,country_annual_ha!$E$2:$E$556,$B3)</f>
        <v>84697.7514757004</v>
      </c>
      <c r="H3" s="7" t="n">
        <f aca="false">SUMIFS(country_annual_ha!J$2:J$556,country_annual_ha!$D$2:$D$556,$A3,country_annual_ha!$E$2:$E$556,$B3)</f>
        <v>80397.6199224062</v>
      </c>
      <c r="I3" s="7" t="n">
        <f aca="false">SUMIFS(country_annual_ha!K$2:K$556,country_annual_ha!$D$2:$D$556,$A3,country_annual_ha!$E$2:$E$556,$B3)</f>
        <v>87960.1725979787</v>
      </c>
      <c r="J3" s="7" t="n">
        <f aca="false">SUMIFS(country_annual_ha!L$2:L$556,country_annual_ha!$D$2:$D$556,$A3,country_annual_ha!$E$2:$E$556,$B3)</f>
        <v>97062.6471702305</v>
      </c>
      <c r="K3" s="7" t="n">
        <f aca="false">SUMIFS(country_annual_ha!M$2:M$556,country_annual_ha!$D$2:$D$556,$A3,country_annual_ha!$E$2:$E$556,$B3)</f>
        <v>81767.8555243728</v>
      </c>
      <c r="L3" s="7" t="n">
        <f aca="false">SUMIFS(country_annual_ha!N$2:N$556,country_annual_ha!$D$2:$D$556,$A3,country_annual_ha!$E$2:$E$556,$B3)</f>
        <v>68566.5104181299</v>
      </c>
      <c r="M3" s="7" t="n">
        <f aca="false">SUMIFS(country_annual_ha!O$2:O$556,country_annual_ha!$D$2:$D$556,$A3,country_annual_ha!$E$2:$E$556,$B3)</f>
        <v>76632.3497765323</v>
      </c>
      <c r="N3" s="7" t="n">
        <f aca="false">SUMIFS(country_annual_ha!P$2:P$556,country_annual_ha!$D$2:$D$556,$A3,country_annual_ha!$E$2:$E$556,$B3)</f>
        <v>69193.2883572873</v>
      </c>
      <c r="O3" s="7" t="n">
        <f aca="false">SUMIFS(country_annual_ha!Q$2:Q$556,country_annual_ha!$D$2:$D$556,$A3,country_annual_ha!$E$2:$E$556,$B3)</f>
        <v>45100.1524509071</v>
      </c>
      <c r="P3" s="7" t="n">
        <f aca="false">SUMIFS(country_annual_ha!R$2:R$556,country_annual_ha!$D$2:$D$556,$A3,country_annual_ha!$E$2:$E$556,$B3)</f>
        <v>28569.812393178</v>
      </c>
      <c r="Q3" s="7" t="n">
        <f aca="false">SUMIFS(country_annual_ha!S$2:S$556,country_annual_ha!$D$2:$D$556,$A3,country_annual_ha!$E$2:$E$556,$B3)</f>
        <v>34640.21685132</v>
      </c>
      <c r="R3" s="7" t="n">
        <f aca="false">SUMIFS(country_annual_ha!T$2:T$556,country_annual_ha!$D$2:$D$556,$A3,country_annual_ha!$E$2:$E$556,$B3)</f>
        <v>52680.9083918701</v>
      </c>
      <c r="S3" s="7" t="n">
        <f aca="false">SUMIFS(country_annual_ha!U$2:U$556,country_annual_ha!$D$2:$D$556,$A3,country_annual_ha!$E$2:$E$556,$B3)</f>
        <v>70162.7967737014</v>
      </c>
      <c r="T3" s="7" t="n">
        <f aca="false">SUMIFS(country_annual_ha!V$2:V$556,country_annual_ha!$D$2:$D$556,$A3,country_annual_ha!$E$2:$E$556,$B3)</f>
        <v>73350.9335287282</v>
      </c>
      <c r="U3" s="7" t="n">
        <f aca="false">SUMIFS(country_annual_ha!W$2:W$556,country_annual_ha!$D$2:$D$556,$A3,country_annual_ha!$E$2:$E$556,$B3)</f>
        <v>60309.3342936602</v>
      </c>
      <c r="V3" s="7" t="n">
        <f aca="false">SUMIFS(country_annual_ha!X$2:X$556,country_annual_ha!$D$2:$D$556,$A3,country_annual_ha!$E$2:$E$556,$B3)</f>
        <v>54196.5655733444</v>
      </c>
      <c r="W3" s="7" t="n">
        <f aca="false">SUMIFS(country_annual_ha!Y$2:Y$556,country_annual_ha!$D$2:$D$556,$A3,country_annual_ha!$E$2:$E$556,$B3)</f>
        <v>51296.0644334778</v>
      </c>
      <c r="X3" s="7" t="n">
        <f aca="false">SUMIFS(country_annual_ha!Z$2:Z$556,country_annual_ha!$D$2:$D$556,$A3,country_annual_ha!$E$2:$E$556,$B3)</f>
        <v>45991.7713570402</v>
      </c>
      <c r="Y3" s="7" t="n">
        <f aca="false">SUMIFS(country_annual_ha!AA$2:AA$556,country_annual_ha!$D$2:$D$556,$A3,country_annual_ha!$E$2:$E$556,$B3)</f>
        <v>32883.702742212</v>
      </c>
      <c r="Z3" s="7" t="n">
        <f aca="false">SUMIFS(country_annual_ha!AB$2:AB$556,country_annual_ha!$D$2:$D$556,$A3,country_annual_ha!$E$2:$E$556,$B3)</f>
        <v>39492.2806113087</v>
      </c>
    </row>
    <row r="4" customFormat="false" ht="15" hidden="false" customHeight="false" outlineLevel="0" collapsed="false">
      <c r="A4" s="4" t="s">
        <v>31</v>
      </c>
      <c r="B4" s="4" t="s">
        <v>93</v>
      </c>
      <c r="C4" s="4" t="s">
        <v>32</v>
      </c>
      <c r="D4" s="7" t="n">
        <f aca="false">SUMIFS(country_annual_ha!F$2:F$556,country_annual_ha!$D$2:$D$556,$A4,country_annual_ha!$E$2:$E$556,$B4)</f>
        <v>387900</v>
      </c>
      <c r="E4" s="7" t="n">
        <f aca="false">SUMIFS(country_annual_ha!G$2:G$556,country_annual_ha!$D$2:$D$556,$A4,country_annual_ha!$E$2:$E$556,$B4)</f>
        <v>387900</v>
      </c>
      <c r="F4" s="7" t="n">
        <f aca="false">SUMIFS(country_annual_ha!H$2:H$556,country_annual_ha!$D$2:$D$556,$A4,country_annual_ha!$E$2:$E$556,$B4)</f>
        <v>387900</v>
      </c>
      <c r="G4" s="7" t="n">
        <f aca="false">SUMIFS(country_annual_ha!I$2:I$556,country_annual_ha!$D$2:$D$556,$A4,country_annual_ha!$E$2:$E$556,$B4)</f>
        <v>387900</v>
      </c>
      <c r="H4" s="7" t="n">
        <f aca="false">SUMIFS(country_annual_ha!J$2:J$556,country_annual_ha!$D$2:$D$556,$A4,country_annual_ha!$E$2:$E$556,$B4)</f>
        <v>387900</v>
      </c>
      <c r="I4" s="7" t="n">
        <f aca="false">SUMIFS(country_annual_ha!K$2:K$556,country_annual_ha!$D$2:$D$556,$A4,country_annual_ha!$E$2:$E$556,$B4)</f>
        <v>387900</v>
      </c>
      <c r="J4" s="7" t="n">
        <f aca="false">SUMIFS(country_annual_ha!L$2:L$556,country_annual_ha!$D$2:$D$556,$A4,country_annual_ha!$E$2:$E$556,$B4)</f>
        <v>387900</v>
      </c>
      <c r="K4" s="7" t="n">
        <f aca="false">SUMIFS(country_annual_ha!M$2:M$556,country_annual_ha!$D$2:$D$556,$A4,country_annual_ha!$E$2:$E$556,$B4)</f>
        <v>294800</v>
      </c>
      <c r="L4" s="7" t="n">
        <f aca="false">SUMIFS(country_annual_ha!N$2:N$556,country_annual_ha!$D$2:$D$556,$A4,country_annual_ha!$E$2:$E$556,$B4)</f>
        <v>201700</v>
      </c>
      <c r="M4" s="7" t="n">
        <f aca="false">SUMIFS(country_annual_ha!O$2:O$556,country_annual_ha!$D$2:$D$556,$A4,country_annual_ha!$E$2:$E$556,$B4)</f>
        <v>108600</v>
      </c>
      <c r="N4" s="7" t="n">
        <f aca="false">SUMIFS(country_annual_ha!P$2:P$556,country_annual_ha!$D$2:$D$556,$A4,country_annual_ha!$E$2:$E$556,$B4)</f>
        <v>108600</v>
      </c>
      <c r="O4" s="7" t="n">
        <f aca="false">SUMIFS(country_annual_ha!Q$2:Q$556,country_annual_ha!$D$2:$D$556,$A4,country_annual_ha!$E$2:$E$556,$B4)</f>
        <v>108600</v>
      </c>
      <c r="P4" s="7" t="n">
        <f aca="false">SUMIFS(country_annual_ha!R$2:R$556,country_annual_ha!$D$2:$D$556,$A4,country_annual_ha!$E$2:$E$556,$B4)</f>
        <v>72400</v>
      </c>
      <c r="Q4" s="7" t="n">
        <f aca="false">SUMIFS(country_annual_ha!S$2:S$556,country_annual_ha!$D$2:$D$556,$A4,country_annual_ha!$E$2:$E$556,$B4)</f>
        <v>331200</v>
      </c>
      <c r="R4" s="7" t="n">
        <f aca="false">SUMIFS(country_annual_ha!T$2:T$556,country_annual_ha!$D$2:$D$556,$A4,country_annual_ha!$E$2:$E$556,$B4)</f>
        <v>295000</v>
      </c>
      <c r="S4" s="7" t="n">
        <f aca="false">SUMIFS(country_annual_ha!U$2:U$556,country_annual_ha!$D$2:$D$556,$A4,country_annual_ha!$E$2:$E$556,$B4)</f>
        <v>295000</v>
      </c>
      <c r="T4" s="7" t="n">
        <f aca="false">SUMIFS(country_annual_ha!V$2:V$556,country_annual_ha!$D$2:$D$556,$A4,country_annual_ha!$E$2:$E$556,$B4)</f>
        <v>0</v>
      </c>
      <c r="U4" s="7" t="n">
        <f aca="false">SUMIFS(country_annual_ha!W$2:W$556,country_annual_ha!$D$2:$D$556,$A4,country_annual_ha!$E$2:$E$556,$B4)</f>
        <v>0</v>
      </c>
      <c r="V4" s="7" t="n">
        <f aca="false">SUMIFS(country_annual_ha!X$2:X$556,country_annual_ha!$D$2:$D$556,$A4,country_annual_ha!$E$2:$E$556,$B4)</f>
        <v>0</v>
      </c>
      <c r="W4" s="7" t="n">
        <f aca="false">SUMIFS(country_annual_ha!Y$2:Y$556,country_annual_ha!$D$2:$D$556,$A4,country_annual_ha!$E$2:$E$556,$B4)</f>
        <v>0</v>
      </c>
      <c r="X4" s="7" t="n">
        <f aca="false">SUMIFS(country_annual_ha!Z$2:Z$556,country_annual_ha!$D$2:$D$556,$A4,country_annual_ha!$E$2:$E$556,$B4)</f>
        <v>0</v>
      </c>
      <c r="Y4" s="7" t="n">
        <f aca="false">SUMIFS(country_annual_ha!AA$2:AA$556,country_annual_ha!$D$2:$D$556,$A4,country_annual_ha!$E$2:$E$556,$B4)</f>
        <v>0</v>
      </c>
      <c r="Z4" s="7" t="n">
        <f aca="false">SUMIFS(country_annual_ha!AB$2:AB$556,country_annual_ha!$D$2:$D$556,$A4,country_annual_ha!$E$2:$E$556,$B4)</f>
        <v>0</v>
      </c>
    </row>
    <row r="5" customFormat="false" ht="15" hidden="false" customHeight="false" outlineLevel="0" collapsed="false">
      <c r="A5" s="4" t="s">
        <v>33</v>
      </c>
      <c r="B5" s="4" t="s">
        <v>91</v>
      </c>
      <c r="C5" s="4" t="s">
        <v>34</v>
      </c>
      <c r="D5" s="7" t="n">
        <f aca="false">SUMIFS(country_annual_ha!F$2:F$556,country_annual_ha!$D$2:$D$556,$A5,country_annual_ha!$E$2:$E$556,$B5)</f>
        <v>5787.69280591339</v>
      </c>
      <c r="E5" s="7" t="n">
        <f aca="false">SUMIFS(country_annual_ha!G$2:G$556,country_annual_ha!$D$2:$D$556,$A5,country_annual_ha!$E$2:$E$556,$B5)</f>
        <v>3898.21567244872</v>
      </c>
      <c r="F5" s="7" t="n">
        <f aca="false">SUMIFS(country_annual_ha!H$2:H$556,country_annual_ha!$D$2:$D$556,$A5,country_annual_ha!$E$2:$E$556,$B5)</f>
        <v>2453.03054142733</v>
      </c>
      <c r="G5" s="7" t="n">
        <f aca="false">SUMIFS(country_annual_ha!I$2:I$556,country_annual_ha!$D$2:$D$556,$A5,country_annual_ha!$E$2:$E$556,$B5)</f>
        <v>4113.26174117375</v>
      </c>
      <c r="H5" s="7" t="n">
        <f aca="false">SUMIFS(country_annual_ha!J$2:J$556,country_annual_ha!$D$2:$D$556,$A5,country_annual_ha!$E$2:$E$556,$B5)</f>
        <v>4720.4917005798</v>
      </c>
      <c r="I5" s="7" t="n">
        <f aca="false">SUMIFS(country_annual_ha!K$2:K$556,country_annual_ha!$D$2:$D$556,$A5,country_annual_ha!$E$2:$E$556,$B5)</f>
        <v>4110.92805204141</v>
      </c>
      <c r="J5" s="7" t="n">
        <f aca="false">SUMIFS(country_annual_ha!L$2:L$556,country_annual_ha!$D$2:$D$556,$A5,country_annual_ha!$E$2:$E$556,$B5)</f>
        <v>3187.71044781567</v>
      </c>
      <c r="K5" s="7" t="n">
        <f aca="false">SUMIFS(country_annual_ha!M$2:M$556,country_annual_ha!$D$2:$D$556,$A5,country_annual_ha!$E$2:$E$556,$B5)</f>
        <v>4896.2392142148</v>
      </c>
      <c r="L5" s="7" t="n">
        <f aca="false">SUMIFS(country_annual_ha!N$2:N$556,country_annual_ha!$D$2:$D$556,$A5,country_annual_ha!$E$2:$E$556,$B5)</f>
        <v>5496.92418493559</v>
      </c>
      <c r="M5" s="7" t="n">
        <f aca="false">SUMIFS(country_annual_ha!O$2:O$556,country_annual_ha!$D$2:$D$556,$A5,country_annual_ha!$E$2:$E$556,$B5)</f>
        <v>16793.1144695683</v>
      </c>
      <c r="N5" s="7" t="n">
        <f aca="false">SUMIFS(country_annual_ha!P$2:P$556,country_annual_ha!$D$2:$D$556,$A5,country_annual_ha!$E$2:$E$556,$B5)</f>
        <v>15391.3493680792</v>
      </c>
      <c r="O5" s="7" t="n">
        <f aca="false">SUMIFS(country_annual_ha!Q$2:Q$556,country_annual_ha!$D$2:$D$556,$A5,country_annual_ha!$E$2:$E$556,$B5)</f>
        <v>33764.2855558836</v>
      </c>
      <c r="P5" s="7" t="n">
        <f aca="false">SUMIFS(country_annual_ha!R$2:R$556,country_annual_ha!$D$2:$D$556,$A5,country_annual_ha!$E$2:$E$556,$B5)</f>
        <v>20730.828769891</v>
      </c>
      <c r="Q5" s="7" t="n">
        <f aca="false">SUMIFS(country_annual_ha!S$2:S$556,country_annual_ha!$D$2:$D$556,$A5,country_annual_ha!$E$2:$E$556,$B5)</f>
        <v>24156.6702041322</v>
      </c>
      <c r="R5" s="7" t="n">
        <f aca="false">SUMIFS(country_annual_ha!T$2:T$556,country_annual_ha!$D$2:$D$556,$A5,country_annual_ha!$E$2:$E$556,$B5)</f>
        <v>20140.3824739427</v>
      </c>
      <c r="S5" s="7" t="n">
        <f aca="false">SUMIFS(country_annual_ha!U$2:U$556,country_annual_ha!$D$2:$D$556,$A5,country_annual_ha!$E$2:$E$556,$B5)</f>
        <v>21685.1438592899</v>
      </c>
      <c r="T5" s="7" t="n">
        <f aca="false">SUMIFS(country_annual_ha!V$2:V$556,country_annual_ha!$D$2:$D$556,$A5,country_annual_ha!$E$2:$E$556,$B5)</f>
        <v>9251.31715950482</v>
      </c>
      <c r="U5" s="7" t="n">
        <f aca="false">SUMIFS(country_annual_ha!W$2:W$556,country_annual_ha!$D$2:$D$556,$A5,country_annual_ha!$E$2:$E$556,$B5)</f>
        <v>3908.433070043</v>
      </c>
      <c r="V5" s="7" t="n">
        <f aca="false">SUMIFS(country_annual_ha!X$2:X$556,country_annual_ha!$D$2:$D$556,$A5,country_annual_ha!$E$2:$E$556,$B5)</f>
        <v>1022.47627270621</v>
      </c>
      <c r="W5" s="7" t="n">
        <f aca="false">SUMIFS(country_annual_ha!Y$2:Y$556,country_annual_ha!$D$2:$D$556,$A5,country_annual_ha!$E$2:$E$556,$B5)</f>
        <v>0</v>
      </c>
      <c r="X5" s="7" t="n">
        <f aca="false">SUMIFS(country_annual_ha!Z$2:Z$556,country_annual_ha!$D$2:$D$556,$A5,country_annual_ha!$E$2:$E$556,$B5)</f>
        <v>0</v>
      </c>
      <c r="Y5" s="7" t="n">
        <f aca="false">SUMIFS(country_annual_ha!AA$2:AA$556,country_annual_ha!$D$2:$D$556,$A5,country_annual_ha!$E$2:$E$556,$B5)</f>
        <v>0</v>
      </c>
      <c r="Z5" s="7" t="n">
        <f aca="false">SUMIFS(country_annual_ha!AB$2:AB$556,country_annual_ha!$D$2:$D$556,$A5,country_annual_ha!$E$2:$E$556,$B5)</f>
        <v>0</v>
      </c>
    </row>
    <row r="6" customFormat="false" ht="15" hidden="false" customHeight="false" outlineLevel="0" collapsed="false">
      <c r="A6" s="4" t="s">
        <v>33</v>
      </c>
      <c r="B6" s="4" t="s">
        <v>92</v>
      </c>
      <c r="C6" s="4" t="s">
        <v>34</v>
      </c>
      <c r="D6" s="7" t="n">
        <f aca="false">SUMIFS(country_annual_ha!F$2:F$556,country_annual_ha!$D$2:$D$556,$A6,country_annual_ha!$E$2:$E$556,$B6)</f>
        <v>11734.5837720402</v>
      </c>
      <c r="E6" s="7" t="n">
        <f aca="false">SUMIFS(country_annual_ha!G$2:G$556,country_annual_ha!$D$2:$D$556,$A6,country_annual_ha!$E$2:$E$556,$B6)</f>
        <v>14234.9972998208</v>
      </c>
      <c r="F6" s="7" t="n">
        <f aca="false">SUMIFS(country_annual_ha!H$2:H$556,country_annual_ha!$D$2:$D$556,$A6,country_annual_ha!$E$2:$E$556,$B6)</f>
        <v>7371.53660542073</v>
      </c>
      <c r="G6" s="7" t="n">
        <f aca="false">SUMIFS(country_annual_ha!I$2:I$556,country_annual_ha!$D$2:$D$556,$A6,country_annual_ha!$E$2:$E$556,$B6)</f>
        <v>14321.1745233936</v>
      </c>
      <c r="H6" s="7" t="n">
        <f aca="false">SUMIFS(country_annual_ha!J$2:J$556,country_annual_ha!$D$2:$D$556,$A6,country_annual_ha!$E$2:$E$556,$B6)</f>
        <v>0</v>
      </c>
      <c r="I6" s="7" t="n">
        <f aca="false">SUMIFS(country_annual_ha!K$2:K$556,country_annual_ha!$D$2:$D$556,$A6,country_annual_ha!$E$2:$E$556,$B6)</f>
        <v>14186.1885489142</v>
      </c>
      <c r="J6" s="7" t="n">
        <f aca="false">SUMIFS(country_annual_ha!L$2:L$556,country_annual_ha!$D$2:$D$556,$A6,country_annual_ha!$E$2:$E$556,$B6)</f>
        <v>10036.0216906733</v>
      </c>
      <c r="K6" s="7" t="n">
        <f aca="false">SUMIFS(country_annual_ha!M$2:M$556,country_annual_ha!$D$2:$D$556,$A6,country_annual_ha!$E$2:$E$556,$B6)</f>
        <v>10148.0283052314</v>
      </c>
      <c r="L6" s="7" t="n">
        <f aca="false">SUMIFS(country_annual_ha!N$2:N$556,country_annual_ha!$D$2:$D$556,$A6,country_annual_ha!$E$2:$E$556,$B6)</f>
        <v>0</v>
      </c>
      <c r="M6" s="7" t="n">
        <f aca="false">SUMIFS(country_annual_ha!O$2:O$556,country_annual_ha!$D$2:$D$556,$A6,country_annual_ha!$E$2:$E$556,$B6)</f>
        <v>0</v>
      </c>
      <c r="N6" s="7" t="n">
        <f aca="false">SUMIFS(country_annual_ha!P$2:P$556,country_annual_ha!$D$2:$D$556,$A6,country_annual_ha!$E$2:$E$556,$B6)</f>
        <v>0</v>
      </c>
      <c r="O6" s="7" t="n">
        <f aca="false">SUMIFS(country_annual_ha!Q$2:Q$556,country_annual_ha!$D$2:$D$556,$A6,country_annual_ha!$E$2:$E$556,$B6)</f>
        <v>0</v>
      </c>
      <c r="P6" s="7" t="n">
        <f aca="false">SUMIFS(country_annual_ha!R$2:R$556,country_annual_ha!$D$2:$D$556,$A6,country_annual_ha!$E$2:$E$556,$B6)</f>
        <v>0</v>
      </c>
      <c r="Q6" s="7" t="n">
        <f aca="false">SUMIFS(country_annual_ha!S$2:S$556,country_annual_ha!$D$2:$D$556,$A6,country_annual_ha!$E$2:$E$556,$B6)</f>
        <v>0</v>
      </c>
      <c r="R6" s="7" t="n">
        <f aca="false">SUMIFS(country_annual_ha!T$2:T$556,country_annual_ha!$D$2:$D$556,$A6,country_annual_ha!$E$2:$E$556,$B6)</f>
        <v>0</v>
      </c>
      <c r="S6" s="7" t="n">
        <f aca="false">SUMIFS(country_annual_ha!U$2:U$556,country_annual_ha!$D$2:$D$556,$A6,country_annual_ha!$E$2:$E$556,$B6)</f>
        <v>2409.40439641116</v>
      </c>
      <c r="T6" s="7" t="n">
        <f aca="false">SUMIFS(country_annual_ha!V$2:V$556,country_annual_ha!$D$2:$D$556,$A6,country_annual_ha!$E$2:$E$556,$B6)</f>
        <v>6690.33662622996</v>
      </c>
      <c r="U6" s="7" t="n">
        <f aca="false">SUMIFS(country_annual_ha!W$2:W$556,country_annual_ha!$D$2:$D$556,$A6,country_annual_ha!$E$2:$E$556,$B6)</f>
        <v>7177.1033617258</v>
      </c>
      <c r="V6" s="7" t="n">
        <f aca="false">SUMIFS(country_annual_ha!X$2:X$556,country_annual_ha!$D$2:$D$556,$A6,country_annual_ha!$E$2:$E$556,$B6)</f>
        <v>7783.67687559435</v>
      </c>
      <c r="W6" s="7" t="n">
        <f aca="false">SUMIFS(country_annual_ha!Y$2:Y$556,country_annual_ha!$D$2:$D$556,$A6,country_annual_ha!$E$2:$E$556,$B6)</f>
        <v>7274.3453887654</v>
      </c>
      <c r="X6" s="7" t="n">
        <f aca="false">SUMIFS(country_annual_ha!Z$2:Z$556,country_annual_ha!$D$2:$D$556,$A6,country_annual_ha!$E$2:$E$556,$B6)</f>
        <v>7687.85251938856</v>
      </c>
      <c r="Y6" s="7" t="n">
        <f aca="false">SUMIFS(country_annual_ha!AA$2:AA$556,country_annual_ha!$D$2:$D$556,$A6,country_annual_ha!$E$2:$E$556,$B6)</f>
        <v>5326.4819065654</v>
      </c>
      <c r="Z6" s="7" t="n">
        <f aca="false">SUMIFS(country_annual_ha!AB$2:AB$556,country_annual_ha!$D$2:$D$556,$A6,country_annual_ha!$E$2:$E$556,$B6)</f>
        <v>3236.82463854397</v>
      </c>
    </row>
    <row r="7" customFormat="false" ht="15" hidden="false" customHeight="false" outlineLevel="0" collapsed="false">
      <c r="A7" s="4" t="s">
        <v>33</v>
      </c>
      <c r="B7" s="4" t="s">
        <v>93</v>
      </c>
      <c r="C7" s="4" t="s">
        <v>34</v>
      </c>
      <c r="D7" s="7" t="n">
        <f aca="false">SUMIFS(country_annual_ha!F$2:F$556,country_annual_ha!$D$2:$D$556,$A7,country_annual_ha!$E$2:$E$556,$B7)</f>
        <v>0</v>
      </c>
      <c r="E7" s="7" t="n">
        <f aca="false">SUMIFS(country_annual_ha!G$2:G$556,country_annual_ha!$D$2:$D$556,$A7,country_annual_ha!$E$2:$E$556,$B7)</f>
        <v>0</v>
      </c>
      <c r="F7" s="7" t="n">
        <f aca="false">SUMIFS(country_annual_ha!H$2:H$556,country_annual_ha!$D$2:$D$556,$A7,country_annual_ha!$E$2:$E$556,$B7)</f>
        <v>0</v>
      </c>
      <c r="G7" s="7" t="n">
        <f aca="false">SUMIFS(country_annual_ha!I$2:I$556,country_annual_ha!$D$2:$D$556,$A7,country_annual_ha!$E$2:$E$556,$B7)</f>
        <v>0</v>
      </c>
      <c r="H7" s="7" t="n">
        <f aca="false">SUMIFS(country_annual_ha!J$2:J$556,country_annual_ha!$D$2:$D$556,$A7,country_annual_ha!$E$2:$E$556,$B7)</f>
        <v>0</v>
      </c>
      <c r="I7" s="7" t="n">
        <f aca="false">SUMIFS(country_annual_ha!K$2:K$556,country_annual_ha!$D$2:$D$556,$A7,country_annual_ha!$E$2:$E$556,$B7)</f>
        <v>0</v>
      </c>
      <c r="J7" s="7" t="n">
        <f aca="false">SUMIFS(country_annual_ha!L$2:L$556,country_annual_ha!$D$2:$D$556,$A7,country_annual_ha!$E$2:$E$556,$B7)</f>
        <v>0</v>
      </c>
      <c r="K7" s="7" t="n">
        <f aca="false">SUMIFS(country_annual_ha!M$2:M$556,country_annual_ha!$D$2:$D$556,$A7,country_annual_ha!$E$2:$E$556,$B7)</f>
        <v>0</v>
      </c>
      <c r="L7" s="7" t="n">
        <f aca="false">SUMIFS(country_annual_ha!N$2:N$556,country_annual_ha!$D$2:$D$556,$A7,country_annual_ha!$E$2:$E$556,$B7)</f>
        <v>0</v>
      </c>
      <c r="M7" s="7" t="n">
        <f aca="false">SUMIFS(country_annual_ha!O$2:O$556,country_annual_ha!$D$2:$D$556,$A7,country_annual_ha!$E$2:$E$556,$B7)</f>
        <v>0</v>
      </c>
      <c r="N7" s="7" t="n">
        <f aca="false">SUMIFS(country_annual_ha!P$2:P$556,country_annual_ha!$D$2:$D$556,$A7,country_annual_ha!$E$2:$E$556,$B7)</f>
        <v>0</v>
      </c>
      <c r="O7" s="7" t="n">
        <f aca="false">SUMIFS(country_annual_ha!Q$2:Q$556,country_annual_ha!$D$2:$D$556,$A7,country_annual_ha!$E$2:$E$556,$B7)</f>
        <v>0</v>
      </c>
      <c r="P7" s="7" t="n">
        <f aca="false">SUMIFS(country_annual_ha!R$2:R$556,country_annual_ha!$D$2:$D$556,$A7,country_annual_ha!$E$2:$E$556,$B7)</f>
        <v>0</v>
      </c>
      <c r="Q7" s="7" t="n">
        <f aca="false">SUMIFS(country_annual_ha!S$2:S$556,country_annual_ha!$D$2:$D$556,$A7,country_annual_ha!$E$2:$E$556,$B7)</f>
        <v>0</v>
      </c>
      <c r="R7" s="7" t="n">
        <f aca="false">SUMIFS(country_annual_ha!T$2:T$556,country_annual_ha!$D$2:$D$556,$A7,country_annual_ha!$E$2:$E$556,$B7)</f>
        <v>0</v>
      </c>
      <c r="S7" s="7" t="n">
        <f aca="false">SUMIFS(country_annual_ha!U$2:U$556,country_annual_ha!$D$2:$D$556,$A7,country_annual_ha!$E$2:$E$556,$B7)</f>
        <v>0</v>
      </c>
      <c r="T7" s="7" t="n">
        <f aca="false">SUMIFS(country_annual_ha!V$2:V$556,country_annual_ha!$D$2:$D$556,$A7,country_annual_ha!$E$2:$E$556,$B7)</f>
        <v>0</v>
      </c>
      <c r="U7" s="7" t="n">
        <f aca="false">SUMIFS(country_annual_ha!W$2:W$556,country_annual_ha!$D$2:$D$556,$A7,country_annual_ha!$E$2:$E$556,$B7)</f>
        <v>0</v>
      </c>
      <c r="V7" s="7" t="n">
        <f aca="false">SUMIFS(country_annual_ha!X$2:X$556,country_annual_ha!$D$2:$D$556,$A7,country_annual_ha!$E$2:$E$556,$B7)</f>
        <v>0</v>
      </c>
      <c r="W7" s="7" t="n">
        <f aca="false">SUMIFS(country_annual_ha!Y$2:Y$556,country_annual_ha!$D$2:$D$556,$A7,country_annual_ha!$E$2:$E$556,$B7)</f>
        <v>0</v>
      </c>
      <c r="X7" s="7" t="n">
        <f aca="false">SUMIFS(country_annual_ha!Z$2:Z$556,country_annual_ha!$D$2:$D$556,$A7,country_annual_ha!$E$2:$E$556,$B7)</f>
        <v>0</v>
      </c>
      <c r="Y7" s="7" t="n">
        <f aca="false">SUMIFS(country_annual_ha!AA$2:AA$556,country_annual_ha!$D$2:$D$556,$A7,country_annual_ha!$E$2:$E$556,$B7)</f>
        <v>0</v>
      </c>
      <c r="Z7" s="7" t="n">
        <f aca="false">SUMIFS(country_annual_ha!AB$2:AB$556,country_annual_ha!$D$2:$D$556,$A7,country_annual_ha!$E$2:$E$556,$B7)</f>
        <v>0</v>
      </c>
    </row>
    <row r="8" customFormat="false" ht="15" hidden="false" customHeight="false" outlineLevel="0" collapsed="false">
      <c r="A8" s="4" t="s">
        <v>35</v>
      </c>
      <c r="B8" s="4" t="s">
        <v>91</v>
      </c>
      <c r="C8" s="4" t="s">
        <v>36</v>
      </c>
      <c r="D8" s="7" t="n">
        <f aca="false">SUMIFS(country_annual_ha!F$2:F$556,country_annual_ha!$D$2:$D$556,$A8,country_annual_ha!$E$2:$E$556,$B8)</f>
        <v>103791.375201407</v>
      </c>
      <c r="E8" s="7" t="n">
        <f aca="false">SUMIFS(country_annual_ha!G$2:G$556,country_annual_ha!$D$2:$D$556,$A8,country_annual_ha!$E$2:$E$556,$B8)</f>
        <v>102904.437434587</v>
      </c>
      <c r="F8" s="7" t="n">
        <f aca="false">SUMIFS(country_annual_ha!H$2:H$556,country_annual_ha!$D$2:$D$556,$A8,country_annual_ha!$E$2:$E$556,$B8)</f>
        <v>102060.635053263</v>
      </c>
      <c r="G8" s="7" t="n">
        <f aca="false">SUMIFS(country_annual_ha!I$2:I$556,country_annual_ha!$D$2:$D$556,$A8,country_annual_ha!$E$2:$E$556,$B8)</f>
        <v>135698</v>
      </c>
      <c r="H8" s="7" t="n">
        <f aca="false">SUMIFS(country_annual_ha!J$2:J$556,country_annual_ha!$D$2:$D$556,$A8,country_annual_ha!$E$2:$E$556,$B8)</f>
        <v>49406.0836547659</v>
      </c>
      <c r="I8" s="7" t="n">
        <f aca="false">SUMIFS(country_annual_ha!K$2:K$556,country_annual_ha!$D$2:$D$556,$A8,country_annual_ha!$E$2:$E$556,$B8)</f>
        <v>3838.23382583408</v>
      </c>
      <c r="J8" s="7" t="n">
        <f aca="false">SUMIFS(country_annual_ha!L$2:L$556,country_annual_ha!$D$2:$D$556,$A8,country_annual_ha!$E$2:$E$556,$B8)</f>
        <v>6758.074371058</v>
      </c>
      <c r="K8" s="7" t="n">
        <f aca="false">SUMIFS(country_annual_ha!M$2:M$556,country_annual_ha!$D$2:$D$556,$A8,country_annual_ha!$E$2:$E$556,$B8)</f>
        <v>7048.38551390132</v>
      </c>
      <c r="L8" s="7" t="n">
        <f aca="false">SUMIFS(country_annual_ha!N$2:N$556,country_annual_ha!$D$2:$D$556,$A8,country_annual_ha!$E$2:$E$556,$B8)</f>
        <v>10412.5060297473</v>
      </c>
      <c r="M8" s="7" t="n">
        <f aca="false">SUMIFS(country_annual_ha!O$2:O$556,country_annual_ha!$D$2:$D$556,$A8,country_annual_ha!$E$2:$E$556,$B8)</f>
        <v>6513.21299217838</v>
      </c>
      <c r="N8" s="7" t="n">
        <f aca="false">SUMIFS(country_annual_ha!P$2:P$556,country_annual_ha!$D$2:$D$556,$A8,country_annual_ha!$E$2:$E$556,$B8)</f>
        <v>4552.7740290404</v>
      </c>
      <c r="O8" s="7" t="n">
        <f aca="false">SUMIFS(country_annual_ha!Q$2:Q$556,country_annual_ha!$D$2:$D$556,$A8,country_annual_ha!$E$2:$E$556,$B8)</f>
        <v>12598.4272987377</v>
      </c>
      <c r="P8" s="7" t="n">
        <f aca="false">SUMIFS(country_annual_ha!R$2:R$556,country_annual_ha!$D$2:$D$556,$A8,country_annual_ha!$E$2:$E$556,$B8)</f>
        <v>8112.72367199893</v>
      </c>
      <c r="Q8" s="7" t="n">
        <f aca="false">SUMIFS(country_annual_ha!S$2:S$556,country_annual_ha!$D$2:$D$556,$A8,country_annual_ha!$E$2:$E$556,$B8)</f>
        <v>5908.58519116409</v>
      </c>
      <c r="R8" s="7" t="n">
        <f aca="false">SUMIFS(country_annual_ha!T$2:T$556,country_annual_ha!$D$2:$D$556,$A8,country_annual_ha!$E$2:$E$556,$B8)</f>
        <v>4549.52106633634</v>
      </c>
      <c r="S8" s="7" t="n">
        <f aca="false">SUMIFS(country_annual_ha!U$2:U$556,country_annual_ha!$D$2:$D$556,$A8,country_annual_ha!$E$2:$E$556,$B8)</f>
        <v>6647.98134920614</v>
      </c>
      <c r="T8" s="7" t="n">
        <f aca="false">SUMIFS(country_annual_ha!V$2:V$556,country_annual_ha!$D$2:$D$556,$A8,country_annual_ha!$E$2:$E$556,$B8)</f>
        <v>203300</v>
      </c>
      <c r="U8" s="7" t="n">
        <f aca="false">SUMIFS(country_annual_ha!W$2:W$556,country_annual_ha!$D$2:$D$556,$A8,country_annual_ha!$E$2:$E$556,$B8)</f>
        <v>186245.333333333</v>
      </c>
      <c r="V8" s="7" t="n">
        <f aca="false">SUMIFS(country_annual_ha!X$2:X$556,country_annual_ha!$D$2:$D$556,$A8,country_annual_ha!$E$2:$E$556,$B8)</f>
        <v>208356.666666667</v>
      </c>
      <c r="W8" s="7" t="n">
        <f aca="false">SUMIFS(country_annual_ha!Y$2:Y$556,country_annual_ha!$D$2:$D$556,$A8,country_annual_ha!$E$2:$E$556,$B8)</f>
        <v>87.8637041687012</v>
      </c>
      <c r="X8" s="7" t="n">
        <f aca="false">SUMIFS(country_annual_ha!Z$2:Z$556,country_annual_ha!$D$2:$D$556,$A8,country_annual_ha!$E$2:$E$556,$B8)</f>
        <v>0</v>
      </c>
      <c r="Y8" s="7" t="n">
        <f aca="false">SUMIFS(country_annual_ha!AA$2:AA$556,country_annual_ha!$D$2:$D$556,$A8,country_annual_ha!$E$2:$E$556,$B8)</f>
        <v>0</v>
      </c>
      <c r="Z8" s="7" t="n">
        <f aca="false">SUMIFS(country_annual_ha!AB$2:AB$556,country_annual_ha!$D$2:$D$556,$A8,country_annual_ha!$E$2:$E$556,$B8)</f>
        <v>0</v>
      </c>
    </row>
    <row r="9" customFormat="false" ht="15" hidden="false" customHeight="false" outlineLevel="0" collapsed="false">
      <c r="A9" s="4" t="s">
        <v>35</v>
      </c>
      <c r="B9" s="4" t="s">
        <v>92</v>
      </c>
      <c r="C9" s="4" t="s">
        <v>36</v>
      </c>
      <c r="D9" s="7" t="n">
        <f aca="false">SUMIFS(country_annual_ha!F$2:F$556,country_annual_ha!$D$2:$D$556,$A9,country_annual_ha!$E$2:$E$556,$B9)</f>
        <v>14906.080245412</v>
      </c>
      <c r="E9" s="7" t="n">
        <f aca="false">SUMIFS(country_annual_ha!G$2:G$556,country_annual_ha!$D$2:$D$556,$A9,country_annual_ha!$E$2:$E$556,$B9)</f>
        <v>0</v>
      </c>
      <c r="F9" s="7" t="n">
        <f aca="false">SUMIFS(country_annual_ha!H$2:H$556,country_annual_ha!$D$2:$D$556,$A9,country_annual_ha!$E$2:$E$556,$B9)</f>
        <v>0</v>
      </c>
      <c r="G9" s="7" t="n">
        <f aca="false">SUMIFS(country_annual_ha!I$2:I$556,country_annual_ha!$D$2:$D$556,$A9,country_annual_ha!$E$2:$E$556,$B9)</f>
        <v>0</v>
      </c>
      <c r="H9" s="7" t="n">
        <f aca="false">SUMIFS(country_annual_ha!J$2:J$556,country_annual_ha!$D$2:$D$556,$A9,country_annual_ha!$E$2:$E$556,$B9)</f>
        <v>0</v>
      </c>
      <c r="I9" s="7" t="n">
        <f aca="false">SUMIFS(country_annual_ha!K$2:K$556,country_annual_ha!$D$2:$D$556,$A9,country_annual_ha!$E$2:$E$556,$B9)</f>
        <v>0</v>
      </c>
      <c r="J9" s="7" t="n">
        <f aca="false">SUMIFS(country_annual_ha!L$2:L$556,country_annual_ha!$D$2:$D$556,$A9,country_annual_ha!$E$2:$E$556,$B9)</f>
        <v>0</v>
      </c>
      <c r="K9" s="7" t="n">
        <f aca="false">SUMIFS(country_annual_ha!M$2:M$556,country_annual_ha!$D$2:$D$556,$A9,country_annual_ha!$E$2:$E$556,$B9)</f>
        <v>0</v>
      </c>
      <c r="L9" s="7" t="n">
        <f aca="false">SUMIFS(country_annual_ha!N$2:N$556,country_annual_ha!$D$2:$D$556,$A9,country_annual_ha!$E$2:$E$556,$B9)</f>
        <v>0</v>
      </c>
      <c r="M9" s="7" t="n">
        <f aca="false">SUMIFS(country_annual_ha!O$2:O$556,country_annual_ha!$D$2:$D$556,$A9,country_annual_ha!$E$2:$E$556,$B9)</f>
        <v>0</v>
      </c>
      <c r="N9" s="7" t="n">
        <f aca="false">SUMIFS(country_annual_ha!P$2:P$556,country_annual_ha!$D$2:$D$556,$A9,country_annual_ha!$E$2:$E$556,$B9)</f>
        <v>0</v>
      </c>
      <c r="O9" s="7" t="n">
        <f aca="false">SUMIFS(country_annual_ha!Q$2:Q$556,country_annual_ha!$D$2:$D$556,$A9,country_annual_ha!$E$2:$E$556,$B9)</f>
        <v>0</v>
      </c>
      <c r="P9" s="7" t="n">
        <f aca="false">SUMIFS(country_annual_ha!R$2:R$556,country_annual_ha!$D$2:$D$556,$A9,country_annual_ha!$E$2:$E$556,$B9)</f>
        <v>0</v>
      </c>
      <c r="Q9" s="7" t="n">
        <f aca="false">SUMIFS(country_annual_ha!S$2:S$556,country_annual_ha!$D$2:$D$556,$A9,country_annual_ha!$E$2:$E$556,$B9)</f>
        <v>76091.0862470219</v>
      </c>
      <c r="R9" s="7" t="n">
        <f aca="false">SUMIFS(country_annual_ha!T$2:T$556,country_annual_ha!$D$2:$D$556,$A9,country_annual_ha!$E$2:$E$556,$B9)</f>
        <v>37003.0488338504</v>
      </c>
      <c r="S9" s="7" t="n">
        <f aca="false">SUMIFS(country_annual_ha!U$2:U$556,country_annual_ha!$D$2:$D$556,$A9,country_annual_ha!$E$2:$E$556,$B9)</f>
        <v>70307.9173614607</v>
      </c>
      <c r="T9" s="7" t="n">
        <f aca="false">SUMIFS(country_annual_ha!V$2:V$556,country_annual_ha!$D$2:$D$556,$A9,country_annual_ha!$E$2:$E$556,$B9)</f>
        <v>29644.658055751</v>
      </c>
      <c r="U9" s="7" t="n">
        <f aca="false">SUMIFS(country_annual_ha!W$2:W$556,country_annual_ha!$D$2:$D$556,$A9,country_annual_ha!$E$2:$E$556,$B9)</f>
        <v>27156.2357424835</v>
      </c>
      <c r="V9" s="7" t="n">
        <f aca="false">SUMIFS(country_annual_ha!X$2:X$556,country_annual_ha!$D$2:$D$556,$A9,country_annual_ha!$E$2:$E$556,$B9)</f>
        <v>22290.70853049</v>
      </c>
      <c r="W9" s="7" t="n">
        <f aca="false">SUMIFS(country_annual_ha!Y$2:Y$556,country_annual_ha!$D$2:$D$556,$A9,country_annual_ha!$E$2:$E$556,$B9)</f>
        <v>639.337442087592</v>
      </c>
      <c r="X9" s="7" t="n">
        <f aca="false">SUMIFS(country_annual_ha!Z$2:Z$556,country_annual_ha!$D$2:$D$556,$A9,country_annual_ha!$E$2:$E$556,$B9)</f>
        <v>11355.3831510085</v>
      </c>
      <c r="Y9" s="7" t="n">
        <f aca="false">SUMIFS(country_annual_ha!AA$2:AA$556,country_annual_ha!$D$2:$D$556,$A9,country_annual_ha!$E$2:$E$556,$B9)</f>
        <v>86859.7165338449</v>
      </c>
      <c r="Z9" s="7" t="n">
        <f aca="false">SUMIFS(country_annual_ha!AB$2:AB$556,country_annual_ha!$D$2:$D$556,$A9,country_annual_ha!$E$2:$E$556,$B9)</f>
        <v>32951.4790423137</v>
      </c>
    </row>
    <row r="10" customFormat="false" ht="15" hidden="false" customHeight="false" outlineLevel="0" collapsed="false">
      <c r="A10" s="4" t="s">
        <v>35</v>
      </c>
      <c r="B10" s="4" t="s">
        <v>93</v>
      </c>
      <c r="C10" s="4" t="s">
        <v>36</v>
      </c>
      <c r="D10" s="7" t="n">
        <f aca="false">SUMIFS(country_annual_ha!F$2:F$556,country_annual_ha!$D$2:$D$556,$A10,country_annual_ha!$E$2:$E$556,$B10)</f>
        <v>1457.98563941974</v>
      </c>
      <c r="E10" s="7" t="n">
        <f aca="false">SUMIFS(country_annual_ha!G$2:G$556,country_annual_ha!$D$2:$D$556,$A10,country_annual_ha!$E$2:$E$556,$B10)</f>
        <v>979.529663666853</v>
      </c>
      <c r="F10" s="7" t="n">
        <f aca="false">SUMIFS(country_annual_ha!H$2:H$556,country_annual_ha!$D$2:$D$556,$A10,country_annual_ha!$E$2:$E$556,$B10)</f>
        <v>725.79498573795</v>
      </c>
      <c r="G10" s="7" t="n">
        <f aca="false">SUMIFS(country_annual_ha!I$2:I$556,country_annual_ha!$D$2:$D$556,$A10,country_annual_ha!$E$2:$E$556,$B10)</f>
        <v>1156.78607825154</v>
      </c>
      <c r="H10" s="7" t="n">
        <f aca="false">SUMIFS(country_annual_ha!J$2:J$556,country_annual_ha!$D$2:$D$556,$A10,country_annual_ha!$E$2:$E$556,$B10)</f>
        <v>1159.66947388091</v>
      </c>
      <c r="I10" s="7" t="n">
        <f aca="false">SUMIFS(country_annual_ha!K$2:K$556,country_annual_ha!$D$2:$D$556,$A10,country_annual_ha!$E$2:$E$556,$B10)</f>
        <v>2111.68832026623</v>
      </c>
      <c r="J10" s="7" t="n">
        <f aca="false">SUMIFS(country_annual_ha!L$2:L$556,country_annual_ha!$D$2:$D$556,$A10,country_annual_ha!$E$2:$E$556,$B10)</f>
        <v>2733</v>
      </c>
      <c r="K10" s="7" t="n">
        <f aca="false">SUMIFS(country_annual_ha!M$2:M$556,country_annual_ha!$D$2:$D$556,$A10,country_annual_ha!$E$2:$E$556,$B10)</f>
        <v>2310.41088916198</v>
      </c>
      <c r="L10" s="7" t="n">
        <f aca="false">SUMIFS(country_annual_ha!N$2:N$556,country_annual_ha!$D$2:$D$556,$A10,country_annual_ha!$E$2:$E$556,$B10)</f>
        <v>2727</v>
      </c>
      <c r="M10" s="7" t="n">
        <f aca="false">SUMIFS(country_annual_ha!O$2:O$556,country_annual_ha!$D$2:$D$556,$A10,country_annual_ha!$E$2:$E$556,$B10)</f>
        <v>2724</v>
      </c>
      <c r="N10" s="7" t="n">
        <f aca="false">SUMIFS(country_annual_ha!P$2:P$556,country_annual_ha!$D$2:$D$556,$A10,country_annual_ha!$E$2:$E$556,$B10)</f>
        <v>2437.18114420204</v>
      </c>
      <c r="O10" s="7" t="n">
        <f aca="false">SUMIFS(country_annual_ha!Q$2:Q$556,country_annual_ha!$D$2:$D$556,$A10,country_annual_ha!$E$2:$E$556,$B10)</f>
        <v>2724</v>
      </c>
      <c r="P10" s="7" t="n">
        <f aca="false">SUMIFS(country_annual_ha!R$2:R$556,country_annual_ha!$D$2:$D$556,$A10,country_annual_ha!$E$2:$E$556,$B10)</f>
        <v>1816.00000000001</v>
      </c>
      <c r="Q10" s="7" t="n">
        <f aca="false">SUMIFS(country_annual_ha!S$2:S$556,country_annual_ha!$D$2:$D$556,$A10,country_annual_ha!$E$2:$E$556,$B10)</f>
        <v>908</v>
      </c>
      <c r="R10" s="7" t="n">
        <f aca="false">SUMIFS(country_annual_ha!T$2:T$556,country_annual_ha!$D$2:$D$556,$A10,country_annual_ha!$E$2:$E$556,$B10)</f>
        <v>0</v>
      </c>
      <c r="S10" s="7" t="n">
        <f aca="false">SUMIFS(country_annual_ha!U$2:U$556,country_annual_ha!$D$2:$D$556,$A10,country_annual_ha!$E$2:$E$556,$B10)</f>
        <v>0</v>
      </c>
      <c r="T10" s="7" t="n">
        <f aca="false">SUMIFS(country_annual_ha!V$2:V$556,country_annual_ha!$D$2:$D$556,$A10,country_annual_ha!$E$2:$E$556,$B10)</f>
        <v>0</v>
      </c>
      <c r="U10" s="7" t="n">
        <f aca="false">SUMIFS(country_annual_ha!W$2:W$556,country_annual_ha!$D$2:$D$556,$A10,country_annual_ha!$E$2:$E$556,$B10)</f>
        <v>0</v>
      </c>
      <c r="V10" s="7" t="n">
        <f aca="false">SUMIFS(country_annual_ha!X$2:X$556,country_annual_ha!$D$2:$D$556,$A10,country_annual_ha!$E$2:$E$556,$B10)</f>
        <v>0</v>
      </c>
      <c r="W10" s="7" t="n">
        <f aca="false">SUMIFS(country_annual_ha!Y$2:Y$556,country_annual_ha!$D$2:$D$556,$A10,country_annual_ha!$E$2:$E$556,$B10)</f>
        <v>0</v>
      </c>
      <c r="X10" s="7" t="n">
        <f aca="false">SUMIFS(country_annual_ha!Z$2:Z$556,country_annual_ha!$D$2:$D$556,$A10,country_annual_ha!$E$2:$E$556,$B10)</f>
        <v>0</v>
      </c>
      <c r="Y10" s="7" t="n">
        <f aca="false">SUMIFS(country_annual_ha!AA$2:AA$556,country_annual_ha!$D$2:$D$556,$A10,country_annual_ha!$E$2:$E$556,$B10)</f>
        <v>0</v>
      </c>
      <c r="Z10" s="7" t="n">
        <f aca="false">SUMIFS(country_annual_ha!AB$2:AB$556,country_annual_ha!$D$2:$D$556,$A10,country_annual_ha!$E$2:$E$556,$B10)</f>
        <v>0</v>
      </c>
    </row>
    <row r="11" customFormat="false" ht="15" hidden="false" customHeight="false" outlineLevel="0" collapsed="false">
      <c r="A11" s="4" t="s">
        <v>37</v>
      </c>
      <c r="B11" s="4" t="s">
        <v>91</v>
      </c>
      <c r="C11" s="4" t="s">
        <v>38</v>
      </c>
      <c r="D11" s="7" t="n">
        <f aca="false">SUMIFS(country_annual_ha!F$2:F$556,country_annual_ha!$D$2:$D$556,$A11,country_annual_ha!$E$2:$E$556,$B11)</f>
        <v>580.194656524394</v>
      </c>
      <c r="E11" s="7" t="n">
        <f aca="false">SUMIFS(country_annual_ha!G$2:G$556,country_annual_ha!$D$2:$D$556,$A11,country_annual_ha!$E$2:$E$556,$B11)</f>
        <v>416.913631183436</v>
      </c>
      <c r="F11" s="7" t="n">
        <f aca="false">SUMIFS(country_annual_ha!H$2:H$556,country_annual_ha!$D$2:$D$556,$A11,country_annual_ha!$E$2:$E$556,$B11)</f>
        <v>928.812130970627</v>
      </c>
      <c r="G11" s="7" t="n">
        <f aca="false">SUMIFS(country_annual_ha!I$2:I$556,country_annual_ha!$D$2:$D$556,$A11,country_annual_ha!$E$2:$E$556,$B11)</f>
        <v>2031.19837733369</v>
      </c>
      <c r="H11" s="7" t="n">
        <f aca="false">SUMIFS(country_annual_ha!J$2:J$556,country_annual_ha!$D$2:$D$556,$A11,country_annual_ha!$E$2:$E$556,$B11)</f>
        <v>1693.66629329002</v>
      </c>
      <c r="I11" s="7" t="n">
        <f aca="false">SUMIFS(country_annual_ha!K$2:K$556,country_annual_ha!$D$2:$D$556,$A11,country_annual_ha!$E$2:$E$556,$B11)</f>
        <v>1551.72596720434</v>
      </c>
      <c r="J11" s="7" t="n">
        <f aca="false">SUMIFS(country_annual_ha!L$2:L$556,country_annual_ha!$D$2:$D$556,$A11,country_annual_ha!$E$2:$E$556,$B11)</f>
        <v>1651.06909253109</v>
      </c>
      <c r="K11" s="7" t="n">
        <f aca="false">SUMIFS(country_annual_ha!M$2:M$556,country_annual_ha!$D$2:$D$556,$A11,country_annual_ha!$E$2:$E$556,$B11)</f>
        <v>1706.31197946907</v>
      </c>
      <c r="L11" s="7" t="n">
        <f aca="false">SUMIFS(country_annual_ha!N$2:N$556,country_annual_ha!$D$2:$D$556,$A11,country_annual_ha!$E$2:$E$556,$B11)</f>
        <v>1595.71570168477</v>
      </c>
      <c r="M11" s="7" t="n">
        <f aca="false">SUMIFS(country_annual_ha!O$2:O$556,country_annual_ha!$D$2:$D$556,$A11,country_annual_ha!$E$2:$E$556,$B11)</f>
        <v>1487.31210499101</v>
      </c>
      <c r="N11" s="7" t="n">
        <f aca="false">SUMIFS(country_annual_ha!P$2:P$556,country_annual_ha!$D$2:$D$556,$A11,country_annual_ha!$E$2:$E$556,$B11)</f>
        <v>1558.59035554469</v>
      </c>
      <c r="O11" s="7" t="n">
        <f aca="false">SUMIFS(country_annual_ha!Q$2:Q$556,country_annual_ha!$D$2:$D$556,$A11,country_annual_ha!$E$2:$E$556,$B11)</f>
        <v>2431.1124945244</v>
      </c>
      <c r="P11" s="7" t="n">
        <f aca="false">SUMIFS(country_annual_ha!R$2:R$556,country_annual_ha!$D$2:$D$556,$A11,country_annual_ha!$E$2:$E$556,$B11)</f>
        <v>745.861580616106</v>
      </c>
      <c r="Q11" s="7" t="n">
        <f aca="false">SUMIFS(country_annual_ha!S$2:S$556,country_annual_ha!$D$2:$D$556,$A11,country_annual_ha!$E$2:$E$556,$B11)</f>
        <v>1146.5457334718</v>
      </c>
      <c r="R11" s="7" t="n">
        <f aca="false">SUMIFS(country_annual_ha!T$2:T$556,country_annual_ha!$D$2:$D$556,$A11,country_annual_ha!$E$2:$E$556,$B11)</f>
        <v>231.462109256185</v>
      </c>
      <c r="S11" s="7" t="n">
        <f aca="false">SUMIFS(country_annual_ha!U$2:U$556,country_annual_ha!$D$2:$D$556,$A11,country_annual_ha!$E$2:$E$556,$B11)</f>
        <v>763.614500875723</v>
      </c>
      <c r="T11" s="7" t="n">
        <f aca="false">SUMIFS(country_annual_ha!V$2:V$556,country_annual_ha!$D$2:$D$556,$A11,country_annual_ha!$E$2:$E$556,$B11)</f>
        <v>1592.46289866132</v>
      </c>
      <c r="U11" s="7" t="n">
        <f aca="false">SUMIFS(country_annual_ha!W$2:W$556,country_annual_ha!$D$2:$D$556,$A11,country_annual_ha!$E$2:$E$556,$B11)</f>
        <v>1026.47232745407</v>
      </c>
      <c r="V11" s="7" t="n">
        <f aca="false">SUMIFS(country_annual_ha!X$2:X$556,country_annual_ha!$D$2:$D$556,$A11,country_annual_ha!$E$2:$E$556,$B11)</f>
        <v>359.858005196773</v>
      </c>
      <c r="W11" s="7" t="n">
        <f aca="false">SUMIFS(country_annual_ha!Y$2:Y$556,country_annual_ha!$D$2:$D$556,$A11,country_annual_ha!$E$2:$E$556,$B11)</f>
        <v>0</v>
      </c>
      <c r="X11" s="7" t="n">
        <f aca="false">SUMIFS(country_annual_ha!Z$2:Z$556,country_annual_ha!$D$2:$D$556,$A11,country_annual_ha!$E$2:$E$556,$B11)</f>
        <v>214.141701081681</v>
      </c>
      <c r="Y11" s="7" t="n">
        <f aca="false">SUMIFS(country_annual_ha!AA$2:AA$556,country_annual_ha!$D$2:$D$556,$A11,country_annual_ha!$E$2:$E$556,$B11)</f>
        <v>272.682441429629</v>
      </c>
      <c r="Z11" s="7" t="n">
        <f aca="false">SUMIFS(country_annual_ha!AB$2:AB$556,country_annual_ha!$D$2:$D$556,$A11,country_annual_ha!$E$2:$E$556,$B11)</f>
        <v>195.980304977723</v>
      </c>
    </row>
    <row r="12" customFormat="false" ht="15" hidden="false" customHeight="false" outlineLevel="0" collapsed="false">
      <c r="A12" s="4" t="s">
        <v>37</v>
      </c>
      <c r="B12" s="4" t="s">
        <v>92</v>
      </c>
      <c r="C12" s="4" t="s">
        <v>38</v>
      </c>
      <c r="D12" s="7" t="n">
        <f aca="false">SUMIFS(country_annual_ha!F$2:F$556,country_annual_ha!$D$2:$D$556,$A12,country_annual_ha!$E$2:$E$556,$B12)</f>
        <v>0</v>
      </c>
      <c r="E12" s="7" t="n">
        <f aca="false">SUMIFS(country_annual_ha!G$2:G$556,country_annual_ha!$D$2:$D$556,$A12,country_annual_ha!$E$2:$E$556,$B12)</f>
        <v>0</v>
      </c>
      <c r="F12" s="7" t="n">
        <f aca="false">SUMIFS(country_annual_ha!H$2:H$556,country_annual_ha!$D$2:$D$556,$A12,country_annual_ha!$E$2:$E$556,$B12)</f>
        <v>0</v>
      </c>
      <c r="G12" s="7" t="n">
        <f aca="false">SUMIFS(country_annual_ha!I$2:I$556,country_annual_ha!$D$2:$D$556,$A12,country_annual_ha!$E$2:$E$556,$B12)</f>
        <v>1.6894597344167</v>
      </c>
      <c r="H12" s="7" t="n">
        <f aca="false">SUMIFS(country_annual_ha!J$2:J$556,country_annual_ha!$D$2:$D$556,$A12,country_annual_ha!$E$2:$E$556,$B12)</f>
        <v>55.9633434030215</v>
      </c>
      <c r="I12" s="7" t="n">
        <f aca="false">SUMIFS(country_annual_ha!K$2:K$556,country_annual_ha!$D$2:$D$556,$A12,country_annual_ha!$E$2:$E$556,$B12)</f>
        <v>58.5644187004162</v>
      </c>
      <c r="J12" s="7" t="n">
        <f aca="false">SUMIFS(country_annual_ha!L$2:L$556,country_annual_ha!$D$2:$D$556,$A12,country_annual_ha!$E$2:$E$556,$B12)</f>
        <v>80.4515538846621</v>
      </c>
      <c r="K12" s="7" t="n">
        <f aca="false">SUMIFS(country_annual_ha!M$2:M$556,country_annual_ha!$D$2:$D$556,$A12,country_annual_ha!$E$2:$E$556,$B12)</f>
        <v>104.989570482817</v>
      </c>
      <c r="L12" s="7" t="n">
        <f aca="false">SUMIFS(country_annual_ha!N$2:N$556,country_annual_ha!$D$2:$D$556,$A12,country_annual_ha!$E$2:$E$556,$B12)</f>
        <v>120.460540159493</v>
      </c>
      <c r="M12" s="7" t="n">
        <f aca="false">SUMIFS(country_annual_ha!O$2:O$556,country_annual_ha!$D$2:$D$556,$A12,country_annual_ha!$E$2:$E$556,$B12)</f>
        <v>133.90795562595</v>
      </c>
      <c r="N12" s="7" t="n">
        <f aca="false">SUMIFS(country_annual_ha!P$2:P$556,country_annual_ha!$D$2:$D$556,$A12,country_annual_ha!$E$2:$E$556,$B12)</f>
        <v>130.354950567108</v>
      </c>
      <c r="O12" s="7" t="n">
        <f aca="false">SUMIFS(country_annual_ha!Q$2:Q$556,country_annual_ha!$D$2:$D$556,$A12,country_annual_ha!$E$2:$E$556,$B12)</f>
        <v>238.762518458617</v>
      </c>
      <c r="P12" s="7" t="n">
        <f aca="false">SUMIFS(country_annual_ha!R$2:R$556,country_annual_ha!$D$2:$D$556,$A12,country_annual_ha!$E$2:$E$556,$B12)</f>
        <v>59.178337050101</v>
      </c>
      <c r="Q12" s="7" t="n">
        <f aca="false">SUMIFS(country_annual_ha!S$2:S$556,country_annual_ha!$D$2:$D$556,$A12,country_annual_ha!$E$2:$E$556,$B12)</f>
        <v>12.6715685294165</v>
      </c>
      <c r="R12" s="7" t="n">
        <f aca="false">SUMIFS(country_annual_ha!T$2:T$556,country_annual_ha!$D$2:$D$556,$A12,country_annual_ha!$E$2:$E$556,$B12)</f>
        <v>0</v>
      </c>
      <c r="S12" s="7" t="n">
        <f aca="false">SUMIFS(country_annual_ha!U$2:U$556,country_annual_ha!$D$2:$D$556,$A12,country_annual_ha!$E$2:$E$556,$B12)</f>
        <v>0</v>
      </c>
      <c r="T12" s="7" t="n">
        <f aca="false">SUMIFS(country_annual_ha!V$2:V$556,country_annual_ha!$D$2:$D$556,$A12,country_annual_ha!$E$2:$E$556,$B12)</f>
        <v>0</v>
      </c>
      <c r="U12" s="7" t="n">
        <f aca="false">SUMIFS(country_annual_ha!W$2:W$556,country_annual_ha!$D$2:$D$556,$A12,country_annual_ha!$E$2:$E$556,$B12)</f>
        <v>0</v>
      </c>
      <c r="V12" s="7" t="n">
        <f aca="false">SUMIFS(country_annual_ha!X$2:X$556,country_annual_ha!$D$2:$D$556,$A12,country_annual_ha!$E$2:$E$556,$B12)</f>
        <v>0</v>
      </c>
      <c r="W12" s="7" t="n">
        <f aca="false">SUMIFS(country_annual_ha!Y$2:Y$556,country_annual_ha!$D$2:$D$556,$A12,country_annual_ha!$E$2:$E$556,$B12)</f>
        <v>527.117484854402</v>
      </c>
      <c r="X12" s="7" t="n">
        <f aca="false">SUMIFS(country_annual_ha!Z$2:Z$556,country_annual_ha!$D$2:$D$556,$A12,country_annual_ha!$E$2:$E$556,$B12)</f>
        <v>267.254871749322</v>
      </c>
      <c r="Y12" s="7" t="n">
        <f aca="false">SUMIFS(country_annual_ha!AA$2:AA$556,country_annual_ha!$D$2:$D$556,$A12,country_annual_ha!$E$2:$E$556,$B12)</f>
        <v>255.370405064655</v>
      </c>
      <c r="Z12" s="7" t="n">
        <f aca="false">SUMIFS(country_annual_ha!AB$2:AB$556,country_annual_ha!$D$2:$D$556,$A12,country_annual_ha!$E$2:$E$556,$B12)</f>
        <v>276.54030004042</v>
      </c>
    </row>
    <row r="13" customFormat="false" ht="15" hidden="false" customHeight="false" outlineLevel="0" collapsed="false">
      <c r="A13" s="4" t="s">
        <v>37</v>
      </c>
      <c r="B13" s="4" t="s">
        <v>93</v>
      </c>
      <c r="C13" s="4" t="s">
        <v>38</v>
      </c>
      <c r="D13" s="7" t="n">
        <f aca="false">SUMIFS(country_annual_ha!F$2:F$556,country_annual_ha!$D$2:$D$556,$A13,country_annual_ha!$E$2:$E$556,$B13)</f>
        <v>0</v>
      </c>
      <c r="E13" s="7" t="n">
        <f aca="false">SUMIFS(country_annual_ha!G$2:G$556,country_annual_ha!$D$2:$D$556,$A13,country_annual_ha!$E$2:$E$556,$B13)</f>
        <v>0</v>
      </c>
      <c r="F13" s="7" t="n">
        <f aca="false">SUMIFS(country_annual_ha!H$2:H$556,country_annual_ha!$D$2:$D$556,$A13,country_annual_ha!$E$2:$E$556,$B13)</f>
        <v>0</v>
      </c>
      <c r="G13" s="7" t="n">
        <f aca="false">SUMIFS(country_annual_ha!I$2:I$556,country_annual_ha!$D$2:$D$556,$A13,country_annual_ha!$E$2:$E$556,$B13)</f>
        <v>0</v>
      </c>
      <c r="H13" s="7" t="n">
        <f aca="false">SUMIFS(country_annual_ha!J$2:J$556,country_annual_ha!$D$2:$D$556,$A13,country_annual_ha!$E$2:$E$556,$B13)</f>
        <v>0</v>
      </c>
      <c r="I13" s="7" t="n">
        <f aca="false">SUMIFS(country_annual_ha!K$2:K$556,country_annual_ha!$D$2:$D$556,$A13,country_annual_ha!$E$2:$E$556,$B13)</f>
        <v>0</v>
      </c>
      <c r="J13" s="7" t="n">
        <f aca="false">SUMIFS(country_annual_ha!L$2:L$556,country_annual_ha!$D$2:$D$556,$A13,country_annual_ha!$E$2:$E$556,$B13)</f>
        <v>0</v>
      </c>
      <c r="K13" s="7" t="n">
        <f aca="false">SUMIFS(country_annual_ha!M$2:M$556,country_annual_ha!$D$2:$D$556,$A13,country_annual_ha!$E$2:$E$556,$B13)</f>
        <v>0</v>
      </c>
      <c r="L13" s="7" t="n">
        <f aca="false">SUMIFS(country_annual_ha!N$2:N$556,country_annual_ha!$D$2:$D$556,$A13,country_annual_ha!$E$2:$E$556,$B13)</f>
        <v>0</v>
      </c>
      <c r="M13" s="7" t="n">
        <f aca="false">SUMIFS(country_annual_ha!O$2:O$556,country_annual_ha!$D$2:$D$556,$A13,country_annual_ha!$E$2:$E$556,$B13)</f>
        <v>0</v>
      </c>
      <c r="N13" s="7" t="n">
        <f aca="false">SUMIFS(country_annual_ha!P$2:P$556,country_annual_ha!$D$2:$D$556,$A13,country_annual_ha!$E$2:$E$556,$B13)</f>
        <v>0</v>
      </c>
      <c r="O13" s="7" t="n">
        <f aca="false">SUMIFS(country_annual_ha!Q$2:Q$556,country_annual_ha!$D$2:$D$556,$A13,country_annual_ha!$E$2:$E$556,$B13)</f>
        <v>0</v>
      </c>
      <c r="P13" s="7" t="n">
        <f aca="false">SUMIFS(country_annual_ha!R$2:R$556,country_annual_ha!$D$2:$D$556,$A13,country_annual_ha!$E$2:$E$556,$B13)</f>
        <v>0</v>
      </c>
      <c r="Q13" s="7" t="n">
        <f aca="false">SUMIFS(country_annual_ha!S$2:S$556,country_annual_ha!$D$2:$D$556,$A13,country_annual_ha!$E$2:$E$556,$B13)</f>
        <v>0</v>
      </c>
      <c r="R13" s="7" t="n">
        <f aca="false">SUMIFS(country_annual_ha!T$2:T$556,country_annual_ha!$D$2:$D$556,$A13,country_annual_ha!$E$2:$E$556,$B13)</f>
        <v>0</v>
      </c>
      <c r="S13" s="7" t="n">
        <f aca="false">SUMIFS(country_annual_ha!U$2:U$556,country_annual_ha!$D$2:$D$556,$A13,country_annual_ha!$E$2:$E$556,$B13)</f>
        <v>0</v>
      </c>
      <c r="T13" s="7" t="n">
        <f aca="false">SUMIFS(country_annual_ha!V$2:V$556,country_annual_ha!$D$2:$D$556,$A13,country_annual_ha!$E$2:$E$556,$B13)</f>
        <v>0</v>
      </c>
      <c r="U13" s="7" t="n">
        <f aca="false">SUMIFS(country_annual_ha!W$2:W$556,country_annual_ha!$D$2:$D$556,$A13,country_annual_ha!$E$2:$E$556,$B13)</f>
        <v>0</v>
      </c>
      <c r="V13" s="7" t="n">
        <f aca="false">SUMIFS(country_annual_ha!X$2:X$556,country_annual_ha!$D$2:$D$556,$A13,country_annual_ha!$E$2:$E$556,$B13)</f>
        <v>0</v>
      </c>
      <c r="W13" s="7" t="n">
        <f aca="false">SUMIFS(country_annual_ha!Y$2:Y$556,country_annual_ha!$D$2:$D$556,$A13,country_annual_ha!$E$2:$E$556,$B13)</f>
        <v>0</v>
      </c>
      <c r="X13" s="7" t="n">
        <f aca="false">SUMIFS(country_annual_ha!Z$2:Z$556,country_annual_ha!$D$2:$D$556,$A13,country_annual_ha!$E$2:$E$556,$B13)</f>
        <v>0</v>
      </c>
      <c r="Y13" s="7" t="n">
        <f aca="false">SUMIFS(country_annual_ha!AA$2:AA$556,country_annual_ha!$D$2:$D$556,$A13,country_annual_ha!$E$2:$E$556,$B13)</f>
        <v>0</v>
      </c>
      <c r="Z13" s="7" t="n">
        <f aca="false">SUMIFS(country_annual_ha!AB$2:AB$556,country_annual_ha!$D$2:$D$556,$A13,country_annual_ha!$E$2:$E$556,$B13)</f>
        <v>0</v>
      </c>
    </row>
    <row r="14" customFormat="false" ht="15" hidden="false" customHeight="false" outlineLevel="0" collapsed="false">
      <c r="A14" s="4" t="s">
        <v>39</v>
      </c>
      <c r="B14" s="4" t="s">
        <v>91</v>
      </c>
      <c r="C14" s="4" t="s">
        <v>40</v>
      </c>
      <c r="D14" s="7" t="n">
        <f aca="false">SUMIFS(country_annual_ha!F$2:F$556,country_annual_ha!$D$2:$D$556,$A14,country_annual_ha!$E$2:$E$556,$B14)</f>
        <v>28648.3371798248</v>
      </c>
      <c r="E14" s="7" t="n">
        <f aca="false">SUMIFS(country_annual_ha!G$2:G$556,country_annual_ha!$D$2:$D$556,$A14,country_annual_ha!$E$2:$E$556,$B14)</f>
        <v>41052.3450369842</v>
      </c>
      <c r="F14" s="7" t="n">
        <f aca="false">SUMIFS(country_annual_ha!H$2:H$556,country_annual_ha!$D$2:$D$556,$A14,country_annual_ha!$E$2:$E$556,$B14)</f>
        <v>35801.5882773425</v>
      </c>
      <c r="G14" s="7" t="n">
        <f aca="false">SUMIFS(country_annual_ha!I$2:I$556,country_annual_ha!$D$2:$D$556,$A14,country_annual_ha!$E$2:$E$556,$B14)</f>
        <v>39298.7211223288</v>
      </c>
      <c r="H14" s="7" t="n">
        <f aca="false">SUMIFS(country_annual_ha!J$2:J$556,country_annual_ha!$D$2:$D$556,$A14,country_annual_ha!$E$2:$E$556,$B14)</f>
        <v>28588.2968504976</v>
      </c>
      <c r="I14" s="7" t="n">
        <f aca="false">SUMIFS(country_annual_ha!K$2:K$556,country_annual_ha!$D$2:$D$556,$A14,country_annual_ha!$E$2:$E$556,$B14)</f>
        <v>48777.5988758432</v>
      </c>
      <c r="J14" s="7" t="n">
        <f aca="false">SUMIFS(country_annual_ha!L$2:L$556,country_annual_ha!$D$2:$D$556,$A14,country_annual_ha!$E$2:$E$556,$B14)</f>
        <v>48686.7639250661</v>
      </c>
      <c r="K14" s="7" t="n">
        <f aca="false">SUMIFS(country_annual_ha!M$2:M$556,country_annual_ha!$D$2:$D$556,$A14,country_annual_ha!$E$2:$E$556,$B14)</f>
        <v>53189.6619932805</v>
      </c>
      <c r="L14" s="7" t="n">
        <f aca="false">SUMIFS(country_annual_ha!N$2:N$556,country_annual_ha!$D$2:$D$556,$A14,country_annual_ha!$E$2:$E$556,$B14)</f>
        <v>38315.9996952792</v>
      </c>
      <c r="M14" s="7" t="n">
        <f aca="false">SUMIFS(country_annual_ha!O$2:O$556,country_annual_ha!$D$2:$D$556,$A14,country_annual_ha!$E$2:$E$556,$B14)</f>
        <v>26632.0677229371</v>
      </c>
      <c r="N14" s="7" t="n">
        <f aca="false">SUMIFS(country_annual_ha!P$2:P$556,country_annual_ha!$D$2:$D$556,$A14,country_annual_ha!$E$2:$E$556,$B14)</f>
        <v>26718.76213547</v>
      </c>
      <c r="O14" s="7" t="n">
        <f aca="false">SUMIFS(country_annual_ha!Q$2:Q$556,country_annual_ha!$D$2:$D$556,$A14,country_annual_ha!$E$2:$E$556,$B14)</f>
        <v>34187.9852130128</v>
      </c>
      <c r="P14" s="7" t="n">
        <f aca="false">SUMIFS(country_annual_ha!R$2:R$556,country_annual_ha!$D$2:$D$556,$A14,country_annual_ha!$E$2:$E$556,$B14)</f>
        <v>29398.655458659</v>
      </c>
      <c r="Q14" s="7" t="n">
        <f aca="false">SUMIFS(country_annual_ha!S$2:S$556,country_annual_ha!$D$2:$D$556,$A14,country_annual_ha!$E$2:$E$556,$B14)</f>
        <v>53044.0890402454</v>
      </c>
      <c r="R14" s="7" t="n">
        <f aca="false">SUMIFS(country_annual_ha!T$2:T$556,country_annual_ha!$D$2:$D$556,$A14,country_annual_ha!$E$2:$E$556,$B14)</f>
        <v>42166.491591437</v>
      </c>
      <c r="S14" s="7" t="n">
        <f aca="false">SUMIFS(country_annual_ha!U$2:U$556,country_annual_ha!$D$2:$D$556,$A14,country_annual_ha!$E$2:$E$556,$B14)</f>
        <v>42034.5421089807</v>
      </c>
      <c r="T14" s="7" t="n">
        <f aca="false">SUMIFS(country_annual_ha!V$2:V$556,country_annual_ha!$D$2:$D$556,$A14,country_annual_ha!$E$2:$E$556,$B14)</f>
        <v>19589.8820557398</v>
      </c>
      <c r="U14" s="7" t="n">
        <f aca="false">SUMIFS(country_annual_ha!W$2:W$556,country_annual_ha!$D$2:$D$556,$A14,country_annual_ha!$E$2:$E$556,$B14)</f>
        <v>10031.7625656662</v>
      </c>
      <c r="V14" s="7" t="n">
        <f aca="false">SUMIFS(country_annual_ha!X$2:X$556,country_annual_ha!$D$2:$D$556,$A14,country_annual_ha!$E$2:$E$556,$B14)</f>
        <v>10102.0773852762</v>
      </c>
      <c r="W14" s="7" t="n">
        <f aca="false">SUMIFS(country_annual_ha!Y$2:Y$556,country_annual_ha!$D$2:$D$556,$A14,country_annual_ha!$E$2:$E$556,$B14)</f>
        <v>8898.0461411147</v>
      </c>
      <c r="X14" s="7" t="n">
        <f aca="false">SUMIFS(country_annual_ha!Z$2:Z$556,country_annual_ha!$D$2:$D$556,$A14,country_annual_ha!$E$2:$E$556,$B14)</f>
        <v>8280.77933775055</v>
      </c>
      <c r="Y14" s="7" t="n">
        <f aca="false">SUMIFS(country_annual_ha!AA$2:AA$556,country_annual_ha!$D$2:$D$556,$A14,country_annual_ha!$E$2:$E$556,$B14)</f>
        <v>10848.2807047484</v>
      </c>
      <c r="Z14" s="7" t="n">
        <f aca="false">SUMIFS(country_annual_ha!AB$2:AB$556,country_annual_ha!$D$2:$D$556,$A14,country_annual_ha!$E$2:$E$556,$B14)</f>
        <v>9312.64354791006</v>
      </c>
    </row>
    <row r="15" customFormat="false" ht="15" hidden="false" customHeight="false" outlineLevel="0" collapsed="false">
      <c r="A15" s="4" t="s">
        <v>39</v>
      </c>
      <c r="B15" s="4" t="s">
        <v>92</v>
      </c>
      <c r="C15" s="4" t="s">
        <v>40</v>
      </c>
      <c r="D15" s="7" t="n">
        <f aca="false">SUMIFS(country_annual_ha!F$2:F$556,country_annual_ha!$D$2:$D$556,$A15,country_annual_ha!$E$2:$E$556,$B15)</f>
        <v>5223.59897692424</v>
      </c>
      <c r="E15" s="7" t="n">
        <f aca="false">SUMIFS(country_annual_ha!G$2:G$556,country_annual_ha!$D$2:$D$556,$A15,country_annual_ha!$E$2:$E$556,$B15)</f>
        <v>7694.1497952631</v>
      </c>
      <c r="F15" s="7" t="n">
        <f aca="false">SUMIFS(country_annual_ha!H$2:H$556,country_annual_ha!$D$2:$D$556,$A15,country_annual_ha!$E$2:$E$556,$B15)</f>
        <v>4531.43254349198</v>
      </c>
      <c r="G15" s="7" t="n">
        <f aca="false">SUMIFS(country_annual_ha!I$2:I$556,country_annual_ha!$D$2:$D$556,$A15,country_annual_ha!$E$2:$E$556,$B15)</f>
        <v>16885.3787215984</v>
      </c>
      <c r="H15" s="7" t="n">
        <f aca="false">SUMIFS(country_annual_ha!J$2:J$556,country_annual_ha!$D$2:$D$556,$A15,country_annual_ha!$E$2:$E$556,$B15)</f>
        <v>2708.36074683525</v>
      </c>
      <c r="I15" s="7" t="n">
        <f aca="false">SUMIFS(country_annual_ha!K$2:K$556,country_annual_ha!$D$2:$D$556,$A15,country_annual_ha!$E$2:$E$556,$B15)</f>
        <v>9639.48667569634</v>
      </c>
      <c r="J15" s="7" t="n">
        <f aca="false">SUMIFS(country_annual_ha!L$2:L$556,country_annual_ha!$D$2:$D$556,$A15,country_annual_ha!$E$2:$E$556,$B15)</f>
        <v>5053.31827740874</v>
      </c>
      <c r="K15" s="7" t="n">
        <f aca="false">SUMIFS(country_annual_ha!M$2:M$556,country_annual_ha!$D$2:$D$556,$A15,country_annual_ha!$E$2:$E$556,$B15)</f>
        <v>9625.98549071591</v>
      </c>
      <c r="L15" s="7" t="n">
        <f aca="false">SUMIFS(country_annual_ha!N$2:N$556,country_annual_ha!$D$2:$D$556,$A15,country_annual_ha!$E$2:$E$556,$B15)</f>
        <v>5739.43245595184</v>
      </c>
      <c r="M15" s="7" t="n">
        <f aca="false">SUMIFS(country_annual_ha!O$2:O$556,country_annual_ha!$D$2:$D$556,$A15,country_annual_ha!$E$2:$E$556,$B15)</f>
        <v>2437.06988817976</v>
      </c>
      <c r="N15" s="7" t="n">
        <f aca="false">SUMIFS(country_annual_ha!P$2:P$556,country_annual_ha!$D$2:$D$556,$A15,country_annual_ha!$E$2:$E$556,$B15)</f>
        <v>2991.9107539891</v>
      </c>
      <c r="O15" s="7" t="n">
        <f aca="false">SUMIFS(country_annual_ha!Q$2:Q$556,country_annual_ha!$D$2:$D$556,$A15,country_annual_ha!$E$2:$E$556,$B15)</f>
        <v>8308.01053018489</v>
      </c>
      <c r="P15" s="7" t="n">
        <f aca="false">SUMIFS(country_annual_ha!R$2:R$556,country_annual_ha!$D$2:$D$556,$A15,country_annual_ha!$E$2:$E$556,$B15)</f>
        <v>6855.60087858869</v>
      </c>
      <c r="Q15" s="7" t="n">
        <f aca="false">SUMIFS(country_annual_ha!S$2:S$556,country_annual_ha!$D$2:$D$556,$A15,country_annual_ha!$E$2:$E$556,$B15)</f>
        <v>9995.5146853191</v>
      </c>
      <c r="R15" s="7" t="n">
        <f aca="false">SUMIFS(country_annual_ha!T$2:T$556,country_annual_ha!$D$2:$D$556,$A15,country_annual_ha!$E$2:$E$556,$B15)</f>
        <v>12157.5947354689</v>
      </c>
      <c r="S15" s="7" t="n">
        <f aca="false">SUMIFS(country_annual_ha!U$2:U$556,country_annual_ha!$D$2:$D$556,$A15,country_annual_ha!$E$2:$E$556,$B15)</f>
        <v>18503.4557678964</v>
      </c>
      <c r="T15" s="7" t="n">
        <f aca="false">SUMIFS(country_annual_ha!V$2:V$556,country_annual_ha!$D$2:$D$556,$A15,country_annual_ha!$E$2:$E$556,$B15)</f>
        <v>2931.0930963624</v>
      </c>
      <c r="U15" s="7" t="n">
        <f aca="false">SUMIFS(country_annual_ha!W$2:W$556,country_annual_ha!$D$2:$D$556,$A15,country_annual_ha!$E$2:$E$556,$B15)</f>
        <v>10497.3374195566</v>
      </c>
      <c r="V15" s="7" t="n">
        <f aca="false">SUMIFS(country_annual_ha!X$2:X$556,country_annual_ha!$D$2:$D$556,$A15,country_annual_ha!$E$2:$E$556,$B15)</f>
        <v>11392.8681422596</v>
      </c>
      <c r="W15" s="7" t="n">
        <f aca="false">SUMIFS(country_annual_ha!Y$2:Y$556,country_annual_ha!$D$2:$D$556,$A15,country_annual_ha!$E$2:$E$556,$B15)</f>
        <v>10497.5259020514</v>
      </c>
      <c r="X15" s="7" t="n">
        <f aca="false">SUMIFS(country_annual_ha!Z$2:Z$556,country_annual_ha!$D$2:$D$556,$A15,country_annual_ha!$E$2:$E$556,$B15)</f>
        <v>9806.09412468989</v>
      </c>
      <c r="Y15" s="7" t="n">
        <f aca="false">SUMIFS(country_annual_ha!AA$2:AA$556,country_annual_ha!$D$2:$D$556,$A15,country_annual_ha!$E$2:$E$556,$B15)</f>
        <v>11651.8281343019</v>
      </c>
      <c r="Z15" s="7" t="n">
        <f aca="false">SUMIFS(country_annual_ha!AB$2:AB$556,country_annual_ha!$D$2:$D$556,$A15,country_annual_ha!$E$2:$E$556,$B15)</f>
        <v>9771.64249523148</v>
      </c>
    </row>
    <row r="16" customFormat="false" ht="15" hidden="false" customHeight="false" outlineLevel="0" collapsed="false">
      <c r="A16" s="4" t="s">
        <v>39</v>
      </c>
      <c r="B16" s="4" t="s">
        <v>93</v>
      </c>
      <c r="C16" s="4" t="s">
        <v>40</v>
      </c>
      <c r="D16" s="7" t="n">
        <f aca="false">SUMIFS(country_annual_ha!F$2:F$556,country_annual_ha!$D$2:$D$556,$A16,country_annual_ha!$E$2:$E$556,$B16)</f>
        <v>19764.370857589</v>
      </c>
      <c r="E16" s="7" t="n">
        <f aca="false">SUMIFS(country_annual_ha!G$2:G$556,country_annual_ha!$D$2:$D$556,$A16,country_annual_ha!$E$2:$E$556,$B16)</f>
        <v>21657.148342625</v>
      </c>
      <c r="F16" s="7" t="n">
        <f aca="false">SUMIFS(country_annual_ha!H$2:H$556,country_annual_ha!$D$2:$D$556,$A16,country_annual_ha!$E$2:$E$556,$B16)</f>
        <v>31033.1636459959</v>
      </c>
      <c r="G16" s="7" t="n">
        <f aca="false">SUMIFS(country_annual_ha!I$2:I$556,country_annual_ha!$D$2:$D$556,$A16,country_annual_ha!$E$2:$E$556,$B16)</f>
        <v>28345.7852945016</v>
      </c>
      <c r="H16" s="7" t="n">
        <f aca="false">SUMIFS(country_annual_ha!J$2:J$556,country_annual_ha!$D$2:$D$556,$A16,country_annual_ha!$E$2:$E$556,$B16)</f>
        <v>27566.8301915786</v>
      </c>
      <c r="I16" s="7" t="n">
        <f aca="false">SUMIFS(country_annual_ha!K$2:K$556,country_annual_ha!$D$2:$D$556,$A16,country_annual_ha!$E$2:$E$556,$B16)</f>
        <v>26415.1989034006</v>
      </c>
      <c r="J16" s="7" t="n">
        <f aca="false">SUMIFS(country_annual_ha!L$2:L$556,country_annual_ha!$D$2:$D$556,$A16,country_annual_ha!$E$2:$E$556,$B16)</f>
        <v>36385.6376805306</v>
      </c>
      <c r="K16" s="7" t="n">
        <f aca="false">SUMIFS(country_annual_ha!M$2:M$556,country_annual_ha!$D$2:$D$556,$A16,country_annual_ha!$E$2:$E$556,$B16)</f>
        <v>28718.2842788748</v>
      </c>
      <c r="L16" s="7" t="n">
        <f aca="false">SUMIFS(country_annual_ha!N$2:N$556,country_annual_ha!$D$2:$D$556,$A16,country_annual_ha!$E$2:$E$556,$B16)</f>
        <v>13265.91187265</v>
      </c>
      <c r="M16" s="7" t="n">
        <f aca="false">SUMIFS(country_annual_ha!O$2:O$556,country_annual_ha!$D$2:$D$556,$A16,country_annual_ha!$E$2:$E$556,$B16)</f>
        <v>660.130791443227</v>
      </c>
      <c r="N16" s="7" t="n">
        <f aca="false">SUMIFS(country_annual_ha!P$2:P$556,country_annual_ha!$D$2:$D$556,$A16,country_annual_ha!$E$2:$E$556,$B16)</f>
        <v>614.56709337473</v>
      </c>
      <c r="O16" s="7" t="n">
        <f aca="false">SUMIFS(country_annual_ha!Q$2:Q$556,country_annual_ha!$D$2:$D$556,$A16,country_annual_ha!$E$2:$E$556,$B16)</f>
        <v>479.947486502248</v>
      </c>
      <c r="P16" s="7" t="n">
        <f aca="false">SUMIFS(country_annual_ha!R$2:R$556,country_annual_ha!$D$2:$D$556,$A16,country_annual_ha!$E$2:$E$556,$B16)</f>
        <v>910.501672917726</v>
      </c>
      <c r="Q16" s="7" t="n">
        <f aca="false">SUMIFS(country_annual_ha!S$2:S$556,country_annual_ha!$D$2:$D$556,$A16,country_annual_ha!$E$2:$E$556,$B16)</f>
        <v>8149.1496948542</v>
      </c>
      <c r="R16" s="7" t="n">
        <f aca="false">SUMIFS(country_annual_ha!T$2:T$556,country_annual_ha!$D$2:$D$556,$A16,country_annual_ha!$E$2:$E$556,$B16)</f>
        <v>9525.8353698785</v>
      </c>
      <c r="S16" s="7" t="n">
        <f aca="false">SUMIFS(country_annual_ha!U$2:U$556,country_annual_ha!$D$2:$D$556,$A16,country_annual_ha!$E$2:$E$556,$B16)</f>
        <v>13110.2143039636</v>
      </c>
      <c r="T16" s="7" t="n">
        <f aca="false">SUMIFS(country_annual_ha!V$2:V$556,country_annual_ha!$D$2:$D$556,$A16,country_annual_ha!$E$2:$E$556,$B16)</f>
        <v>13969.768797165</v>
      </c>
      <c r="U16" s="7" t="n">
        <f aca="false">SUMIFS(country_annual_ha!W$2:W$556,country_annual_ha!$D$2:$D$556,$A16,country_annual_ha!$E$2:$E$556,$B16)</f>
        <v>15179.3361104467</v>
      </c>
      <c r="V16" s="7" t="n">
        <f aca="false">SUMIFS(country_annual_ha!X$2:X$556,country_annual_ha!$D$2:$D$556,$A16,country_annual_ha!$E$2:$E$556,$B16)</f>
        <v>17509.988455513</v>
      </c>
      <c r="W16" s="7" t="n">
        <f aca="false">SUMIFS(country_annual_ha!Y$2:Y$556,country_annual_ha!$D$2:$D$556,$A16,country_annual_ha!$E$2:$E$556,$B16)</f>
        <v>15652.4473694441</v>
      </c>
      <c r="X16" s="7" t="n">
        <f aca="false">SUMIFS(country_annual_ha!Z$2:Z$556,country_annual_ha!$D$2:$D$556,$A16,country_annual_ha!$E$2:$E$556,$B16)</f>
        <v>19675.740740741</v>
      </c>
      <c r="Y16" s="7" t="n">
        <f aca="false">SUMIFS(country_annual_ha!AA$2:AA$556,country_annual_ha!$D$2:$D$556,$A16,country_annual_ha!$E$2:$E$556,$B16)</f>
        <v>17127.5926389782</v>
      </c>
      <c r="Z16" s="7" t="n">
        <f aca="false">SUMIFS(country_annual_ha!AB$2:AB$556,country_annual_ha!$D$2:$D$556,$A16,country_annual_ha!$E$2:$E$556,$B16)</f>
        <v>15999.4472514739</v>
      </c>
    </row>
    <row r="17" customFormat="false" ht="15" hidden="false" customHeight="false" outlineLevel="0" collapsed="false">
      <c r="A17" s="4" t="s">
        <v>41</v>
      </c>
      <c r="B17" s="4" t="s">
        <v>91</v>
      </c>
      <c r="C17" s="4" t="s">
        <v>42</v>
      </c>
      <c r="D17" s="7" t="n">
        <f aca="false">SUMIFS(country_annual_ha!F$2:F$556,country_annual_ha!$D$2:$D$556,$A17,country_annual_ha!$E$2:$E$556,$B17)</f>
        <v>21955.9462175993</v>
      </c>
      <c r="E17" s="7" t="n">
        <f aca="false">SUMIFS(country_annual_ha!G$2:G$556,country_annual_ha!$D$2:$D$556,$A17,country_annual_ha!$E$2:$E$556,$B17)</f>
        <v>10187.1971154948</v>
      </c>
      <c r="F17" s="7" t="n">
        <f aca="false">SUMIFS(country_annual_ha!H$2:H$556,country_annual_ha!$D$2:$D$556,$A17,country_annual_ha!$E$2:$E$556,$B17)</f>
        <v>5081.07690467486</v>
      </c>
      <c r="G17" s="7" t="n">
        <f aca="false">SUMIFS(country_annual_ha!I$2:I$556,country_annual_ha!$D$2:$D$556,$A17,country_annual_ha!$E$2:$E$556,$B17)</f>
        <v>9763.35558414425</v>
      </c>
      <c r="H17" s="7" t="n">
        <f aca="false">SUMIFS(country_annual_ha!J$2:J$556,country_annual_ha!$D$2:$D$556,$A17,country_annual_ha!$E$2:$E$556,$B17)</f>
        <v>8680.47206040097</v>
      </c>
      <c r="I17" s="7" t="n">
        <f aca="false">SUMIFS(country_annual_ha!K$2:K$556,country_annual_ha!$D$2:$D$556,$A17,country_annual_ha!$E$2:$E$556,$B17)</f>
        <v>8101.5362193187</v>
      </c>
      <c r="J17" s="7" t="n">
        <f aca="false">SUMIFS(country_annual_ha!L$2:L$556,country_annual_ha!$D$2:$D$556,$A17,country_annual_ha!$E$2:$E$556,$B17)</f>
        <v>8232.80407957976</v>
      </c>
      <c r="K17" s="7" t="n">
        <f aca="false">SUMIFS(country_annual_ha!M$2:M$556,country_annual_ha!$D$2:$D$556,$A17,country_annual_ha!$E$2:$E$556,$B17)</f>
        <v>11073.2680187558</v>
      </c>
      <c r="L17" s="7" t="n">
        <f aca="false">SUMIFS(country_annual_ha!N$2:N$556,country_annual_ha!$D$2:$D$556,$A17,country_annual_ha!$E$2:$E$556,$B17)</f>
        <v>16114.0993370958</v>
      </c>
      <c r="M17" s="7" t="n">
        <f aca="false">SUMIFS(country_annual_ha!O$2:O$556,country_annual_ha!$D$2:$D$556,$A17,country_annual_ha!$E$2:$E$556,$B17)</f>
        <v>11842.7017187798</v>
      </c>
      <c r="N17" s="7" t="n">
        <f aca="false">SUMIFS(country_annual_ha!P$2:P$556,country_annual_ha!$D$2:$D$556,$A17,country_annual_ha!$E$2:$E$556,$B17)</f>
        <v>9712.05528956939</v>
      </c>
      <c r="O17" s="7" t="n">
        <f aca="false">SUMIFS(country_annual_ha!Q$2:Q$556,country_annual_ha!$D$2:$D$556,$A17,country_annual_ha!$E$2:$E$556,$B17)</f>
        <v>10933.0387984944</v>
      </c>
      <c r="P17" s="7" t="n">
        <f aca="false">SUMIFS(country_annual_ha!R$2:R$556,country_annual_ha!$D$2:$D$556,$A17,country_annual_ha!$E$2:$E$556,$B17)</f>
        <v>7529.51658133204</v>
      </c>
      <c r="Q17" s="7" t="n">
        <f aca="false">SUMIFS(country_annual_ha!S$2:S$556,country_annual_ha!$D$2:$D$556,$A17,country_annual_ha!$E$2:$E$556,$B17)</f>
        <v>9089.41044630318</v>
      </c>
      <c r="R17" s="7" t="n">
        <f aca="false">SUMIFS(country_annual_ha!T$2:T$556,country_annual_ha!$D$2:$D$556,$A17,country_annual_ha!$E$2:$E$556,$B17)</f>
        <v>6316.61276589645</v>
      </c>
      <c r="S17" s="7" t="n">
        <f aca="false">SUMIFS(country_annual_ha!U$2:U$556,country_annual_ha!$D$2:$D$556,$A17,country_annual_ha!$E$2:$E$556,$B17)</f>
        <v>11900.707722038</v>
      </c>
      <c r="T17" s="7" t="n">
        <f aca="false">SUMIFS(country_annual_ha!V$2:V$556,country_annual_ha!$D$2:$D$556,$A17,country_annual_ha!$E$2:$E$556,$B17)</f>
        <v>15662.3143190224</v>
      </c>
      <c r="U17" s="7" t="n">
        <f aca="false">SUMIFS(country_annual_ha!W$2:W$556,country_annual_ha!$D$2:$D$556,$A17,country_annual_ha!$E$2:$E$556,$B17)</f>
        <v>12711.5327877552</v>
      </c>
      <c r="V17" s="7" t="n">
        <f aca="false">SUMIFS(country_annual_ha!X$2:X$556,country_annual_ha!$D$2:$D$556,$A17,country_annual_ha!$E$2:$E$556,$B17)</f>
        <v>6030.28913090437</v>
      </c>
      <c r="W17" s="7" t="n">
        <f aca="false">SUMIFS(country_annual_ha!Y$2:Y$556,country_annual_ha!$D$2:$D$556,$A17,country_annual_ha!$E$2:$E$556,$B17)</f>
        <v>2925.0382119434</v>
      </c>
      <c r="X17" s="7" t="n">
        <f aca="false">SUMIFS(country_annual_ha!Z$2:Z$556,country_annual_ha!$D$2:$D$556,$A17,country_annual_ha!$E$2:$E$556,$B17)</f>
        <v>3001.9261036308</v>
      </c>
      <c r="Y17" s="7" t="n">
        <f aca="false">SUMIFS(country_annual_ha!AA$2:AA$556,country_annual_ha!$D$2:$D$556,$A17,country_annual_ha!$E$2:$E$556,$B17)</f>
        <v>2939.08195150762</v>
      </c>
      <c r="Z17" s="7" t="n">
        <f aca="false">SUMIFS(country_annual_ha!AB$2:AB$556,country_annual_ha!$D$2:$D$556,$A17,country_annual_ha!$E$2:$E$556,$B17)</f>
        <v>3193.14947488089</v>
      </c>
    </row>
    <row r="18" customFormat="false" ht="15" hidden="false" customHeight="false" outlineLevel="0" collapsed="false">
      <c r="A18" s="4" t="s">
        <v>41</v>
      </c>
      <c r="B18" s="4" t="s">
        <v>92</v>
      </c>
      <c r="C18" s="4" t="s">
        <v>42</v>
      </c>
      <c r="D18" s="7" t="n">
        <f aca="false">SUMIFS(country_annual_ha!F$2:F$556,country_annual_ha!$D$2:$D$556,$A18,country_annual_ha!$E$2:$E$556,$B18)</f>
        <v>4735.63561793529</v>
      </c>
      <c r="E18" s="7" t="n">
        <f aca="false">SUMIFS(country_annual_ha!G$2:G$556,country_annual_ha!$D$2:$D$556,$A18,country_annual_ha!$E$2:$E$556,$B18)</f>
        <v>4878.96680256947</v>
      </c>
      <c r="F18" s="7" t="n">
        <f aca="false">SUMIFS(country_annual_ha!H$2:H$556,country_annual_ha!$D$2:$D$556,$A18,country_annual_ha!$E$2:$E$556,$B18)</f>
        <v>2033.37551839425</v>
      </c>
      <c r="G18" s="7" t="n">
        <f aca="false">SUMIFS(country_annual_ha!I$2:I$556,country_annual_ha!$D$2:$D$556,$A18,country_annual_ha!$E$2:$E$556,$B18)</f>
        <v>7799.44655858272</v>
      </c>
      <c r="H18" s="7" t="n">
        <f aca="false">SUMIFS(country_annual_ha!J$2:J$556,country_annual_ha!$D$2:$D$556,$A18,country_annual_ha!$E$2:$E$556,$B18)</f>
        <v>6305.8099775994</v>
      </c>
      <c r="I18" s="7" t="n">
        <f aca="false">SUMIFS(country_annual_ha!K$2:K$556,country_annual_ha!$D$2:$D$556,$A18,country_annual_ha!$E$2:$E$556,$B18)</f>
        <v>5902.4465719085</v>
      </c>
      <c r="J18" s="7" t="n">
        <f aca="false">SUMIFS(country_annual_ha!L$2:L$556,country_annual_ha!$D$2:$D$556,$A18,country_annual_ha!$E$2:$E$556,$B18)</f>
        <v>3888.30530434905</v>
      </c>
      <c r="K18" s="7" t="n">
        <f aca="false">SUMIFS(country_annual_ha!M$2:M$556,country_annual_ha!$D$2:$D$556,$A18,country_annual_ha!$E$2:$E$556,$B18)</f>
        <v>5151.28137410555</v>
      </c>
      <c r="L18" s="7" t="n">
        <f aca="false">SUMIFS(country_annual_ha!N$2:N$556,country_annual_ha!$D$2:$D$556,$A18,country_annual_ha!$E$2:$E$556,$B18)</f>
        <v>4396.8368105766</v>
      </c>
      <c r="M18" s="7" t="n">
        <f aca="false">SUMIFS(country_annual_ha!O$2:O$556,country_annual_ha!$D$2:$D$556,$A18,country_annual_ha!$E$2:$E$556,$B18)</f>
        <v>4120.57319896314</v>
      </c>
      <c r="N18" s="7" t="n">
        <f aca="false">SUMIFS(country_annual_ha!P$2:P$556,country_annual_ha!$D$2:$D$556,$A18,country_annual_ha!$E$2:$E$556,$B18)</f>
        <v>3771.68180143837</v>
      </c>
      <c r="O18" s="7" t="n">
        <f aca="false">SUMIFS(country_annual_ha!Q$2:Q$556,country_annual_ha!$D$2:$D$556,$A18,country_annual_ha!$E$2:$E$556,$B18)</f>
        <v>6421.33603338889</v>
      </c>
      <c r="P18" s="7" t="n">
        <f aca="false">SUMIFS(country_annual_ha!R$2:R$556,country_annual_ha!$D$2:$D$556,$A18,country_annual_ha!$E$2:$E$556,$B18)</f>
        <v>3485.66872301746</v>
      </c>
      <c r="Q18" s="7" t="n">
        <f aca="false">SUMIFS(country_annual_ha!S$2:S$556,country_annual_ha!$D$2:$D$556,$A18,country_annual_ha!$E$2:$E$556,$B18)</f>
        <v>4740.70287164639</v>
      </c>
      <c r="R18" s="7" t="n">
        <f aca="false">SUMIFS(country_annual_ha!T$2:T$556,country_annual_ha!$D$2:$D$556,$A18,country_annual_ha!$E$2:$E$556,$B18)</f>
        <v>4713.82529646188</v>
      </c>
      <c r="S18" s="7" t="n">
        <f aca="false">SUMIFS(country_annual_ha!U$2:U$556,country_annual_ha!$D$2:$D$556,$A18,country_annual_ha!$E$2:$E$556,$B18)</f>
        <v>7029.46286652638</v>
      </c>
      <c r="T18" s="7" t="n">
        <f aca="false">SUMIFS(country_annual_ha!V$2:V$556,country_annual_ha!$D$2:$D$556,$A18,country_annual_ha!$E$2:$E$556,$B18)</f>
        <v>6334.95640508455</v>
      </c>
      <c r="U18" s="7" t="n">
        <f aca="false">SUMIFS(country_annual_ha!W$2:W$556,country_annual_ha!$D$2:$D$556,$A18,country_annual_ha!$E$2:$E$556,$B18)</f>
        <v>6491.62006896193</v>
      </c>
      <c r="V18" s="7" t="n">
        <f aca="false">SUMIFS(country_annual_ha!X$2:X$556,country_annual_ha!$D$2:$D$556,$A18,country_annual_ha!$E$2:$E$556,$B18)</f>
        <v>5118.74723167964</v>
      </c>
      <c r="W18" s="7" t="n">
        <f aca="false">SUMIFS(country_annual_ha!Y$2:Y$556,country_annual_ha!$D$2:$D$556,$A18,country_annual_ha!$E$2:$E$556,$B18)</f>
        <v>5936.82590136437</v>
      </c>
      <c r="X18" s="7" t="n">
        <f aca="false">SUMIFS(country_annual_ha!Z$2:Z$556,country_annual_ha!$D$2:$D$556,$A18,country_annual_ha!$E$2:$E$556,$B18)</f>
        <v>4878.06713924837</v>
      </c>
      <c r="Y18" s="7" t="n">
        <f aca="false">SUMIFS(country_annual_ha!AA$2:AA$556,country_annual_ha!$D$2:$D$556,$A18,country_annual_ha!$E$2:$E$556,$B18)</f>
        <v>4321.64802172053</v>
      </c>
      <c r="Z18" s="7" t="n">
        <f aca="false">SUMIFS(country_annual_ha!AB$2:AB$556,country_annual_ha!$D$2:$D$556,$A18,country_annual_ha!$E$2:$E$556,$B18)</f>
        <v>4223.76541906627</v>
      </c>
    </row>
    <row r="19" customFormat="false" ht="15" hidden="false" customHeight="false" outlineLevel="0" collapsed="false">
      <c r="A19" s="4" t="s">
        <v>41</v>
      </c>
      <c r="B19" s="4" t="s">
        <v>93</v>
      </c>
      <c r="C19" s="4" t="s">
        <v>42</v>
      </c>
      <c r="D19" s="7" t="n">
        <f aca="false">SUMIFS(country_annual_ha!F$2:F$556,country_annual_ha!$D$2:$D$556,$A19,country_annual_ha!$E$2:$E$556,$B19)</f>
        <v>44603.4662939141</v>
      </c>
      <c r="E19" s="7" t="n">
        <f aca="false">SUMIFS(country_annual_ha!G$2:G$556,country_annual_ha!$D$2:$D$556,$A19,country_annual_ha!$E$2:$E$556,$B19)</f>
        <v>43871.6403998355</v>
      </c>
      <c r="F19" s="7" t="n">
        <f aca="false">SUMIFS(country_annual_ha!H$2:H$556,country_annual_ha!$D$2:$D$556,$A19,country_annual_ha!$E$2:$E$556,$B19)</f>
        <v>40495.3396126417</v>
      </c>
      <c r="G19" s="7" t="n">
        <f aca="false">SUMIFS(country_annual_ha!I$2:I$556,country_annual_ha!$D$2:$D$556,$A19,country_annual_ha!$E$2:$E$556,$B19)</f>
        <v>47149.6780679409</v>
      </c>
      <c r="H19" s="7" t="n">
        <f aca="false">SUMIFS(country_annual_ha!J$2:J$556,country_annual_ha!$D$2:$D$556,$A19,country_annual_ha!$E$2:$E$556,$B19)</f>
        <v>47468.1784694931</v>
      </c>
      <c r="I19" s="7" t="n">
        <f aca="false">SUMIFS(country_annual_ha!K$2:K$556,country_annual_ha!$D$2:$D$556,$A19,country_annual_ha!$E$2:$E$556,$B19)</f>
        <v>45542.9796145172</v>
      </c>
      <c r="J19" s="7" t="n">
        <f aca="false">SUMIFS(country_annual_ha!L$2:L$556,country_annual_ha!$D$2:$D$556,$A19,country_annual_ha!$E$2:$E$556,$B19)</f>
        <v>47028.7864090775</v>
      </c>
      <c r="K19" s="7" t="n">
        <f aca="false">SUMIFS(country_annual_ha!M$2:M$556,country_annual_ha!$D$2:$D$556,$A19,country_annual_ha!$E$2:$E$556,$B19)</f>
        <v>29920.9615541616</v>
      </c>
      <c r="L19" s="7" t="n">
        <f aca="false">SUMIFS(country_annual_ha!N$2:N$556,country_annual_ha!$D$2:$D$556,$A19,country_annual_ha!$E$2:$E$556,$B19)</f>
        <v>22155.5279274134</v>
      </c>
      <c r="M19" s="7" t="n">
        <f aca="false">SUMIFS(country_annual_ha!O$2:O$556,country_annual_ha!$D$2:$D$556,$A19,country_annual_ha!$E$2:$E$556,$B19)</f>
        <v>9432.9243835159</v>
      </c>
      <c r="N19" s="7" t="n">
        <f aca="false">SUMIFS(country_annual_ha!P$2:P$556,country_annual_ha!$D$2:$D$556,$A19,country_annual_ha!$E$2:$E$556,$B19)</f>
        <v>7647.36228821165</v>
      </c>
      <c r="O19" s="7" t="n">
        <f aca="false">SUMIFS(country_annual_ha!Q$2:Q$556,country_annual_ha!$D$2:$D$556,$A19,country_annual_ha!$E$2:$E$556,$B19)</f>
        <v>8141.45829272987</v>
      </c>
      <c r="P19" s="7" t="n">
        <f aca="false">SUMIFS(country_annual_ha!R$2:R$556,country_annual_ha!$D$2:$D$556,$A19,country_annual_ha!$E$2:$E$556,$B19)</f>
        <v>5556.95329709343</v>
      </c>
      <c r="Q19" s="7" t="n">
        <f aca="false">SUMIFS(country_annual_ha!S$2:S$556,country_annual_ha!$D$2:$D$556,$A19,country_annual_ha!$E$2:$E$556,$B19)</f>
        <v>5220.18928129368</v>
      </c>
      <c r="R19" s="7" t="n">
        <f aca="false">SUMIFS(country_annual_ha!T$2:T$556,country_annual_ha!$D$2:$D$556,$A19,country_annual_ha!$E$2:$E$556,$B19)</f>
        <v>3094.16152866537</v>
      </c>
      <c r="S19" s="7" t="n">
        <f aca="false">SUMIFS(country_annual_ha!U$2:U$556,country_annual_ha!$D$2:$D$556,$A19,country_annual_ha!$E$2:$E$556,$B19)</f>
        <v>4980</v>
      </c>
      <c r="T19" s="7" t="n">
        <f aca="false">SUMIFS(country_annual_ha!V$2:V$556,country_annual_ha!$D$2:$D$556,$A19,country_annual_ha!$E$2:$E$556,$B19)</f>
        <v>5257.1547935995</v>
      </c>
      <c r="U19" s="7" t="n">
        <f aca="false">SUMIFS(country_annual_ha!W$2:W$556,country_annual_ha!$D$2:$D$556,$A19,country_annual_ha!$E$2:$E$556,$B19)</f>
        <v>6530.65979601952</v>
      </c>
      <c r="V19" s="7" t="n">
        <f aca="false">SUMIFS(country_annual_ha!X$2:X$556,country_annual_ha!$D$2:$D$556,$A19,country_annual_ha!$E$2:$E$556,$B19)</f>
        <v>6638.51851851846</v>
      </c>
      <c r="W19" s="7" t="n">
        <f aca="false">SUMIFS(country_annual_ha!Y$2:Y$556,country_annual_ha!$D$2:$D$556,$A19,country_annual_ha!$E$2:$E$556,$B19)</f>
        <v>6211.97155947776</v>
      </c>
      <c r="X19" s="7" t="n">
        <f aca="false">SUMIFS(country_annual_ha!Z$2:Z$556,country_annual_ha!$D$2:$D$556,$A19,country_annual_ha!$E$2:$E$556,$B19)</f>
        <v>6638.70370370364</v>
      </c>
      <c r="Y19" s="7" t="n">
        <f aca="false">SUMIFS(country_annual_ha!AA$2:AA$556,country_annual_ha!$D$2:$D$556,$A19,country_annual_ha!$E$2:$E$556,$B19)</f>
        <v>6460.62338369332</v>
      </c>
      <c r="Z19" s="7" t="n">
        <f aca="false">SUMIFS(country_annual_ha!AB$2:AB$556,country_annual_ha!$D$2:$D$556,$A19,country_annual_ha!$E$2:$E$556,$B19)</f>
        <v>6398.86086142893</v>
      </c>
    </row>
    <row r="20" customFormat="false" ht="15" hidden="false" customHeight="false" outlineLevel="0" collapsed="false">
      <c r="A20" s="4" t="s">
        <v>43</v>
      </c>
      <c r="B20" s="4" t="s">
        <v>91</v>
      </c>
      <c r="C20" s="4" t="s">
        <v>44</v>
      </c>
      <c r="D20" s="7" t="n">
        <f aca="false">SUMIFS(country_annual_ha!F$2:F$556,country_annual_ha!$D$2:$D$556,$A20,country_annual_ha!$E$2:$E$556,$B20)</f>
        <v>4440.7135698579</v>
      </c>
      <c r="E20" s="7" t="n">
        <f aca="false">SUMIFS(country_annual_ha!G$2:G$556,country_annual_ha!$D$2:$D$556,$A20,country_annual_ha!$E$2:$E$556,$B20)</f>
        <v>3703.20644209183</v>
      </c>
      <c r="F20" s="7" t="n">
        <f aca="false">SUMIFS(country_annual_ha!H$2:H$556,country_annual_ha!$D$2:$D$556,$A20,country_annual_ha!$E$2:$E$556,$B20)</f>
        <v>1772.24584015132</v>
      </c>
      <c r="G20" s="7" t="n">
        <f aca="false">SUMIFS(country_annual_ha!I$2:I$556,country_annual_ha!$D$2:$D$556,$A20,country_annual_ha!$E$2:$E$556,$B20)</f>
        <v>3083.36222409134</v>
      </c>
      <c r="H20" s="7" t="n">
        <f aca="false">SUMIFS(country_annual_ha!J$2:J$556,country_annual_ha!$D$2:$D$556,$A20,country_annual_ha!$E$2:$E$556,$B20)</f>
        <v>1746.03474954931</v>
      </c>
      <c r="I20" s="7" t="n">
        <f aca="false">SUMIFS(country_annual_ha!K$2:K$556,country_annual_ha!$D$2:$D$556,$A20,country_annual_ha!$E$2:$E$556,$B20)</f>
        <v>2237.32359395047</v>
      </c>
      <c r="J20" s="7" t="n">
        <f aca="false">SUMIFS(country_annual_ha!L$2:L$556,country_annual_ha!$D$2:$D$556,$A20,country_annual_ha!$E$2:$E$556,$B20)</f>
        <v>1949.84621200738</v>
      </c>
      <c r="K20" s="7" t="n">
        <f aca="false">SUMIFS(country_annual_ha!M$2:M$556,country_annual_ha!$D$2:$D$556,$A20,country_annual_ha!$E$2:$E$556,$B20)</f>
        <v>2345.8481439694</v>
      </c>
      <c r="L20" s="7" t="n">
        <f aca="false">SUMIFS(country_annual_ha!N$2:N$556,country_annual_ha!$D$2:$D$556,$A20,country_annual_ha!$E$2:$E$556,$B20)</f>
        <v>2279.92394930098</v>
      </c>
      <c r="M20" s="7" t="n">
        <f aca="false">SUMIFS(country_annual_ha!O$2:O$556,country_annual_ha!$D$2:$D$556,$A20,country_annual_ha!$E$2:$E$556,$B20)</f>
        <v>2786.81596340959</v>
      </c>
      <c r="N20" s="7" t="n">
        <f aca="false">SUMIFS(country_annual_ha!P$2:P$556,country_annual_ha!$D$2:$D$556,$A20,country_annual_ha!$E$2:$E$556,$B20)</f>
        <v>3559.4194686272</v>
      </c>
      <c r="O20" s="7" t="n">
        <f aca="false">SUMIFS(country_annual_ha!Q$2:Q$556,country_annual_ha!$D$2:$D$556,$A20,country_annual_ha!$E$2:$E$556,$B20)</f>
        <v>4788.34411130761</v>
      </c>
      <c r="P20" s="7" t="n">
        <f aca="false">SUMIFS(country_annual_ha!R$2:R$556,country_annual_ha!$D$2:$D$556,$A20,country_annual_ha!$E$2:$E$556,$B20)</f>
        <v>2326.1827904256</v>
      </c>
      <c r="Q20" s="7" t="n">
        <f aca="false">SUMIFS(country_annual_ha!S$2:S$556,country_annual_ha!$D$2:$D$556,$A20,country_annual_ha!$E$2:$E$556,$B20)</f>
        <v>3163.33851465955</v>
      </c>
      <c r="R20" s="7" t="n">
        <f aca="false">SUMIFS(country_annual_ha!T$2:T$556,country_annual_ha!$D$2:$D$556,$A20,country_annual_ha!$E$2:$E$556,$B20)</f>
        <v>2892.15191518845</v>
      </c>
      <c r="S20" s="7" t="n">
        <f aca="false">SUMIFS(country_annual_ha!U$2:U$556,country_annual_ha!$D$2:$D$556,$A20,country_annual_ha!$E$2:$E$556,$B20)</f>
        <v>7121.65632773339</v>
      </c>
      <c r="T20" s="7" t="n">
        <f aca="false">SUMIFS(country_annual_ha!V$2:V$556,country_annual_ha!$D$2:$D$556,$A20,country_annual_ha!$E$2:$E$556,$B20)</f>
        <v>10041.9983460903</v>
      </c>
      <c r="U20" s="7" t="n">
        <f aca="false">SUMIFS(country_annual_ha!W$2:W$556,country_annual_ha!$D$2:$D$556,$A20,country_annual_ha!$E$2:$E$556,$B20)</f>
        <v>7676.22007582275</v>
      </c>
      <c r="V20" s="7" t="n">
        <f aca="false">SUMIFS(country_annual_ha!X$2:X$556,country_annual_ha!$D$2:$D$556,$A20,country_annual_ha!$E$2:$E$556,$B20)</f>
        <v>2927.21245362181</v>
      </c>
      <c r="W20" s="7" t="n">
        <f aca="false">SUMIFS(country_annual_ha!Y$2:Y$556,country_annual_ha!$D$2:$D$556,$A20,country_annual_ha!$E$2:$E$556,$B20)</f>
        <v>1105.71675194009</v>
      </c>
      <c r="X20" s="7" t="n">
        <f aca="false">SUMIFS(country_annual_ha!Z$2:Z$556,country_annual_ha!$D$2:$D$556,$A20,country_annual_ha!$E$2:$E$556,$B20)</f>
        <v>930.81229088633</v>
      </c>
      <c r="Y20" s="7" t="n">
        <f aca="false">SUMIFS(country_annual_ha!AA$2:AA$556,country_annual_ha!$D$2:$D$556,$A20,country_annual_ha!$E$2:$E$556,$B20)</f>
        <v>869.084943079048</v>
      </c>
      <c r="Z20" s="7" t="n">
        <f aca="false">SUMIFS(country_annual_ha!AB$2:AB$556,country_annual_ha!$D$2:$D$556,$A20,country_annual_ha!$E$2:$E$556,$B20)</f>
        <v>1125.19227952462</v>
      </c>
    </row>
    <row r="21" customFormat="false" ht="15" hidden="false" customHeight="false" outlineLevel="0" collapsed="false">
      <c r="A21" s="4" t="s">
        <v>43</v>
      </c>
      <c r="B21" s="4" t="s">
        <v>92</v>
      </c>
      <c r="C21" s="4" t="s">
        <v>44</v>
      </c>
      <c r="D21" s="7" t="n">
        <f aca="false">SUMIFS(country_annual_ha!F$2:F$556,country_annual_ha!$D$2:$D$556,$A21,country_annual_ha!$E$2:$E$556,$B21)</f>
        <v>1090.73016039578</v>
      </c>
      <c r="E21" s="7" t="n">
        <f aca="false">SUMIFS(country_annual_ha!G$2:G$556,country_annual_ha!$D$2:$D$556,$A21,country_annual_ha!$E$2:$E$556,$B21)</f>
        <v>945.428076081703</v>
      </c>
      <c r="F21" s="7" t="n">
        <f aca="false">SUMIFS(country_annual_ha!H$2:H$556,country_annual_ha!$D$2:$D$556,$A21,country_annual_ha!$E$2:$E$556,$B21)</f>
        <v>705.421461262941</v>
      </c>
      <c r="G21" s="7" t="n">
        <f aca="false">SUMIFS(country_annual_ha!I$2:I$556,country_annual_ha!$D$2:$D$556,$A21,country_annual_ha!$E$2:$E$556,$B21)</f>
        <v>990.354007179972</v>
      </c>
      <c r="H21" s="7" t="n">
        <f aca="false">SUMIFS(country_annual_ha!J$2:J$556,country_annual_ha!$D$2:$D$556,$A21,country_annual_ha!$E$2:$E$556,$B21)</f>
        <v>580.923439351542</v>
      </c>
      <c r="I21" s="7" t="n">
        <f aca="false">SUMIFS(country_annual_ha!K$2:K$556,country_annual_ha!$D$2:$D$556,$A21,country_annual_ha!$E$2:$E$556,$B21)</f>
        <v>727.512880095903</v>
      </c>
      <c r="J21" s="7" t="n">
        <f aca="false">SUMIFS(country_annual_ha!L$2:L$556,country_annual_ha!$D$2:$D$556,$A21,country_annual_ha!$E$2:$E$556,$B21)</f>
        <v>1573.82583559339</v>
      </c>
      <c r="K21" s="7" t="n">
        <f aca="false">SUMIFS(country_annual_ha!M$2:M$556,country_annual_ha!$D$2:$D$556,$A21,country_annual_ha!$E$2:$E$556,$B21)</f>
        <v>1163.09817357743</v>
      </c>
      <c r="L21" s="7" t="n">
        <f aca="false">SUMIFS(country_annual_ha!N$2:N$556,country_annual_ha!$D$2:$D$556,$A21,country_annual_ha!$E$2:$E$556,$B21)</f>
        <v>1531.59387180921</v>
      </c>
      <c r="M21" s="7" t="n">
        <f aca="false">SUMIFS(country_annual_ha!O$2:O$556,country_annual_ha!$D$2:$D$556,$A21,country_annual_ha!$E$2:$E$556,$B21)</f>
        <v>652.625062567205</v>
      </c>
      <c r="N21" s="7" t="n">
        <f aca="false">SUMIFS(country_annual_ha!P$2:P$556,country_annual_ha!$D$2:$D$556,$A21,country_annual_ha!$E$2:$E$556,$B21)</f>
        <v>504.467757136932</v>
      </c>
      <c r="O21" s="7" t="n">
        <f aca="false">SUMIFS(country_annual_ha!Q$2:Q$556,country_annual_ha!$D$2:$D$556,$A21,country_annual_ha!$E$2:$E$556,$B21)</f>
        <v>447.451187881408</v>
      </c>
      <c r="P21" s="7" t="n">
        <f aca="false">SUMIFS(country_annual_ha!R$2:R$556,country_annual_ha!$D$2:$D$556,$A21,country_annual_ha!$E$2:$E$556,$B21)</f>
        <v>470.708027773614</v>
      </c>
      <c r="Q21" s="7" t="n">
        <f aca="false">SUMIFS(country_annual_ha!S$2:S$556,country_annual_ha!$D$2:$D$556,$A21,country_annual_ha!$E$2:$E$556,$B21)</f>
        <v>439.256539161856</v>
      </c>
      <c r="R21" s="7" t="n">
        <f aca="false">SUMIFS(country_annual_ha!T$2:T$556,country_annual_ha!$D$2:$D$556,$A21,country_annual_ha!$E$2:$E$556,$B21)</f>
        <v>425.260315615136</v>
      </c>
      <c r="S21" s="7" t="n">
        <f aca="false">SUMIFS(country_annual_ha!U$2:U$556,country_annual_ha!$D$2:$D$556,$A21,country_annual_ha!$E$2:$E$556,$B21)</f>
        <v>1111.16132965902</v>
      </c>
      <c r="T21" s="7" t="n">
        <f aca="false">SUMIFS(country_annual_ha!V$2:V$556,country_annual_ha!$D$2:$D$556,$A21,country_annual_ha!$E$2:$E$556,$B21)</f>
        <v>711.026510441754</v>
      </c>
      <c r="U21" s="7" t="n">
        <f aca="false">SUMIFS(country_annual_ha!W$2:W$556,country_annual_ha!$D$2:$D$556,$A21,country_annual_ha!$E$2:$E$556,$B21)</f>
        <v>297.67163991804</v>
      </c>
      <c r="V21" s="7" t="n">
        <f aca="false">SUMIFS(country_annual_ha!X$2:X$556,country_annual_ha!$D$2:$D$556,$A21,country_annual_ha!$E$2:$E$556,$B21)</f>
        <v>197.662089444745</v>
      </c>
      <c r="W21" s="7" t="n">
        <f aca="false">SUMIFS(country_annual_ha!Y$2:Y$556,country_annual_ha!$D$2:$D$556,$A21,country_annual_ha!$E$2:$E$556,$B21)</f>
        <v>604.767473636677</v>
      </c>
      <c r="X21" s="7" t="n">
        <f aca="false">SUMIFS(country_annual_ha!Z$2:Z$556,country_annual_ha!$D$2:$D$556,$A21,country_annual_ha!$E$2:$E$556,$B21)</f>
        <v>345.25187279988</v>
      </c>
      <c r="Y21" s="7" t="n">
        <f aca="false">SUMIFS(country_annual_ha!AA$2:AA$556,country_annual_ha!$D$2:$D$556,$A21,country_annual_ha!$E$2:$E$556,$B21)</f>
        <v>642.034004403855</v>
      </c>
      <c r="Z21" s="7" t="n">
        <f aca="false">SUMIFS(country_annual_ha!AB$2:AB$556,country_annual_ha!$D$2:$D$556,$A21,country_annual_ha!$E$2:$E$556,$B21)</f>
        <v>710.268139205939</v>
      </c>
    </row>
    <row r="22" customFormat="false" ht="15" hidden="false" customHeight="false" outlineLevel="0" collapsed="false">
      <c r="A22" s="4" t="s">
        <v>43</v>
      </c>
      <c r="B22" s="4" t="s">
        <v>93</v>
      </c>
      <c r="C22" s="4" t="s">
        <v>44</v>
      </c>
      <c r="D22" s="7" t="n">
        <f aca="false">SUMIFS(country_annual_ha!F$2:F$556,country_annual_ha!$D$2:$D$556,$A22,country_annual_ha!$E$2:$E$556,$B22)</f>
        <v>4520.74371463407</v>
      </c>
      <c r="E22" s="7" t="n">
        <f aca="false">SUMIFS(country_annual_ha!G$2:G$556,country_annual_ha!$D$2:$D$556,$A22,country_annual_ha!$E$2:$E$556,$B22)</f>
        <v>2826.19305169167</v>
      </c>
      <c r="F22" s="7" t="n">
        <f aca="false">SUMIFS(country_annual_ha!H$2:H$556,country_annual_ha!$D$2:$D$556,$A22,country_annual_ha!$E$2:$E$556,$B22)</f>
        <v>2425.28622840032</v>
      </c>
      <c r="G22" s="7" t="n">
        <f aca="false">SUMIFS(country_annual_ha!I$2:I$556,country_annual_ha!$D$2:$D$556,$A22,country_annual_ha!$E$2:$E$556,$B22)</f>
        <v>5257.16061080618</v>
      </c>
      <c r="H22" s="7" t="n">
        <f aca="false">SUMIFS(country_annual_ha!J$2:J$556,country_annual_ha!$D$2:$D$556,$A22,country_annual_ha!$E$2:$E$556,$B22)</f>
        <v>3039.47093193458</v>
      </c>
      <c r="I22" s="7" t="n">
        <f aca="false">SUMIFS(country_annual_ha!K$2:K$556,country_annual_ha!$D$2:$D$556,$A22,country_annual_ha!$E$2:$E$556,$B22)</f>
        <v>3273.61151712507</v>
      </c>
      <c r="J22" s="7" t="n">
        <f aca="false">SUMIFS(country_annual_ha!L$2:L$556,country_annual_ha!$D$2:$D$556,$A22,country_annual_ha!$E$2:$E$556,$B22)</f>
        <v>3328.87234619787</v>
      </c>
      <c r="K22" s="7" t="n">
        <f aca="false">SUMIFS(country_annual_ha!M$2:M$556,country_annual_ha!$D$2:$D$556,$A22,country_annual_ha!$E$2:$E$556,$B22)</f>
        <v>4750.56173806195</v>
      </c>
      <c r="L22" s="7" t="n">
        <f aca="false">SUMIFS(country_annual_ha!N$2:N$556,country_annual_ha!$D$2:$D$556,$A22,country_annual_ha!$E$2:$E$556,$B22)</f>
        <v>5871.38044224998</v>
      </c>
      <c r="M22" s="7" t="n">
        <f aca="false">SUMIFS(country_annual_ha!O$2:O$556,country_annual_ha!$D$2:$D$556,$A22,country_annual_ha!$E$2:$E$556,$B22)</f>
        <v>6752.85530580881</v>
      </c>
      <c r="N22" s="7" t="n">
        <f aca="false">SUMIFS(country_annual_ha!P$2:P$556,country_annual_ha!$D$2:$D$556,$A22,country_annual_ha!$E$2:$E$556,$B22)</f>
        <v>6833.37488163246</v>
      </c>
      <c r="O22" s="7" t="n">
        <f aca="false">SUMIFS(country_annual_ha!Q$2:Q$556,country_annual_ha!$D$2:$D$556,$A22,country_annual_ha!$E$2:$E$556,$B22)</f>
        <v>7002.69418166596</v>
      </c>
      <c r="P22" s="7" t="n">
        <f aca="false">SUMIFS(country_annual_ha!R$2:R$556,country_annual_ha!$D$2:$D$556,$A22,country_annual_ha!$E$2:$E$556,$B22)</f>
        <v>4781.00502537427</v>
      </c>
      <c r="Q22" s="7" t="n">
        <f aca="false">SUMIFS(country_annual_ha!S$2:S$556,country_annual_ha!$D$2:$D$556,$A22,country_annual_ha!$E$2:$E$556,$B22)</f>
        <v>6627.67522932443</v>
      </c>
      <c r="R22" s="7" t="n">
        <f aca="false">SUMIFS(country_annual_ha!T$2:T$556,country_annual_ha!$D$2:$D$556,$A22,country_annual_ha!$E$2:$E$556,$B22)</f>
        <v>3373.3746254256</v>
      </c>
      <c r="S22" s="7" t="n">
        <f aca="false">SUMIFS(country_annual_ha!U$2:U$556,country_annual_ha!$D$2:$D$556,$A22,country_annual_ha!$E$2:$E$556,$B22)</f>
        <v>3668.86278243324</v>
      </c>
      <c r="T22" s="7" t="n">
        <f aca="false">SUMIFS(country_annual_ha!V$2:V$556,country_annual_ha!$D$2:$D$556,$A22,country_annual_ha!$E$2:$E$556,$B22)</f>
        <v>1192.72833641475</v>
      </c>
      <c r="U22" s="7" t="n">
        <f aca="false">SUMIFS(country_annual_ha!W$2:W$556,country_annual_ha!$D$2:$D$556,$A22,country_annual_ha!$E$2:$E$556,$B22)</f>
        <v>1347.60113547701</v>
      </c>
      <c r="V22" s="7" t="n">
        <f aca="false">SUMIFS(country_annual_ha!X$2:X$556,country_annual_ha!$D$2:$D$556,$A22,country_annual_ha!$E$2:$E$556,$B22)</f>
        <v>1679.64816795002</v>
      </c>
      <c r="W22" s="7" t="n">
        <f aca="false">SUMIFS(country_annual_ha!Y$2:Y$556,country_annual_ha!$D$2:$D$556,$A22,country_annual_ha!$E$2:$E$556,$B22)</f>
        <v>1537.99782030373</v>
      </c>
      <c r="X22" s="7" t="n">
        <f aca="false">SUMIFS(country_annual_ha!Z$2:Z$556,country_annual_ha!$D$2:$D$556,$A22,country_annual_ha!$E$2:$E$556,$B22)</f>
        <v>1700.66679725799</v>
      </c>
      <c r="Y22" s="7" t="n">
        <f aca="false">SUMIFS(country_annual_ha!AA$2:AA$556,country_annual_ha!$D$2:$D$556,$A22,country_annual_ha!$E$2:$E$556,$B22)</f>
        <v>1786.94391893655</v>
      </c>
      <c r="Z22" s="7" t="n">
        <f aca="false">SUMIFS(country_annual_ha!AB$2:AB$556,country_annual_ha!$D$2:$D$556,$A22,country_annual_ha!$E$2:$E$556,$B22)</f>
        <v>1722.0966400856</v>
      </c>
    </row>
    <row r="23" customFormat="false" ht="15" hidden="false" customHeight="false" outlineLevel="0" collapsed="false">
      <c r="A23" s="4" t="s">
        <v>45</v>
      </c>
      <c r="B23" s="4" t="s">
        <v>91</v>
      </c>
      <c r="C23" s="4" t="s">
        <v>46</v>
      </c>
      <c r="D23" s="7" t="n">
        <f aca="false">SUMIFS(country_annual_ha!F$2:F$556,country_annual_ha!$D$2:$D$556,$A23,country_annual_ha!$E$2:$E$556,$B23)</f>
        <v>7619.0960148623</v>
      </c>
      <c r="E23" s="7" t="n">
        <f aca="false">SUMIFS(country_annual_ha!G$2:G$556,country_annual_ha!$D$2:$D$556,$A23,country_annual_ha!$E$2:$E$556,$B23)</f>
        <v>4900.45859800925</v>
      </c>
      <c r="F23" s="7" t="n">
        <f aca="false">SUMIFS(country_annual_ha!H$2:H$556,country_annual_ha!$D$2:$D$556,$A23,country_annual_ha!$E$2:$E$556,$B23)</f>
        <v>1000.09636101592</v>
      </c>
      <c r="G23" s="7" t="n">
        <f aca="false">SUMIFS(country_annual_ha!I$2:I$556,country_annual_ha!$D$2:$D$556,$A23,country_annual_ha!$E$2:$E$556,$B23)</f>
        <v>1707.52080321199</v>
      </c>
      <c r="H23" s="7" t="n">
        <f aca="false">SUMIFS(country_annual_ha!J$2:J$556,country_annual_ha!$D$2:$D$556,$A23,country_annual_ha!$E$2:$E$556,$B23)</f>
        <v>5377.43747280293</v>
      </c>
      <c r="I23" s="7" t="n">
        <f aca="false">SUMIFS(country_annual_ha!K$2:K$556,country_annual_ha!$D$2:$D$556,$A23,country_annual_ha!$E$2:$E$556,$B23)</f>
        <v>6443.684795907</v>
      </c>
      <c r="J23" s="7" t="n">
        <f aca="false">SUMIFS(country_annual_ha!L$2:L$556,country_annual_ha!$D$2:$D$556,$A23,country_annual_ha!$E$2:$E$556,$B23)</f>
        <v>5754.88178001599</v>
      </c>
      <c r="K23" s="7" t="n">
        <f aca="false">SUMIFS(country_annual_ha!M$2:M$556,country_annual_ha!$D$2:$D$556,$A23,country_annual_ha!$E$2:$E$556,$B23)</f>
        <v>5029.10321184625</v>
      </c>
      <c r="L23" s="7" t="n">
        <f aca="false">SUMIFS(country_annual_ha!N$2:N$556,country_annual_ha!$D$2:$D$556,$A23,country_annual_ha!$E$2:$E$556,$B23)</f>
        <v>6314.99308975469</v>
      </c>
      <c r="M23" s="7" t="n">
        <f aca="false">SUMIFS(country_annual_ha!O$2:O$556,country_annual_ha!$D$2:$D$556,$A23,country_annual_ha!$E$2:$E$556,$B23)</f>
        <v>7894.61410865075</v>
      </c>
      <c r="N23" s="7" t="n">
        <f aca="false">SUMIFS(country_annual_ha!P$2:P$556,country_annual_ha!$D$2:$D$556,$A23,country_annual_ha!$E$2:$E$556,$B23)</f>
        <v>7487.10725804155</v>
      </c>
      <c r="O23" s="7" t="n">
        <f aca="false">SUMIFS(country_annual_ha!Q$2:Q$556,country_annual_ha!$D$2:$D$556,$A23,country_annual_ha!$E$2:$E$556,$B23)</f>
        <v>9964.39244314515</v>
      </c>
      <c r="P23" s="7" t="n">
        <f aca="false">SUMIFS(country_annual_ha!R$2:R$556,country_annual_ha!$D$2:$D$556,$A23,country_annual_ha!$E$2:$E$556,$B23)</f>
        <v>6281.28127278917</v>
      </c>
      <c r="Q23" s="7" t="n">
        <f aca="false">SUMIFS(country_annual_ha!S$2:S$556,country_annual_ha!$D$2:$D$556,$A23,country_annual_ha!$E$2:$E$556,$B23)</f>
        <v>5402.75525007055</v>
      </c>
      <c r="R23" s="7" t="n">
        <f aca="false">SUMIFS(country_annual_ha!T$2:T$556,country_annual_ha!$D$2:$D$556,$A23,country_annual_ha!$E$2:$E$556,$B23)</f>
        <v>3812.65873298394</v>
      </c>
      <c r="S23" s="7" t="n">
        <f aca="false">SUMIFS(country_annual_ha!U$2:U$556,country_annual_ha!$D$2:$D$556,$A23,country_annual_ha!$E$2:$E$556,$B23)</f>
        <v>5725.64875452317</v>
      </c>
      <c r="T23" s="7" t="n">
        <f aca="false">SUMIFS(country_annual_ha!V$2:V$556,country_annual_ha!$D$2:$D$556,$A23,country_annual_ha!$E$2:$E$556,$B23)</f>
        <v>7785.78132131191</v>
      </c>
      <c r="U23" s="7" t="n">
        <f aca="false">SUMIFS(country_annual_ha!W$2:W$556,country_annual_ha!$D$2:$D$556,$A23,country_annual_ha!$E$2:$E$556,$B23)</f>
        <v>7251.70448587735</v>
      </c>
      <c r="V23" s="7" t="n">
        <f aca="false">SUMIFS(country_annual_ha!X$2:X$556,country_annual_ha!$D$2:$D$556,$A23,country_annual_ha!$E$2:$E$556,$B23)</f>
        <v>2438.2394971411</v>
      </c>
      <c r="W23" s="7" t="n">
        <f aca="false">SUMIFS(country_annual_ha!Y$2:Y$556,country_annual_ha!$D$2:$D$556,$A23,country_annual_ha!$E$2:$E$556,$B23)</f>
        <v>1489.97273714437</v>
      </c>
      <c r="X23" s="7" t="n">
        <f aca="false">SUMIFS(country_annual_ha!Z$2:Z$556,country_annual_ha!$D$2:$D$556,$A23,country_annual_ha!$E$2:$E$556,$B23)</f>
        <v>1422.25469858427</v>
      </c>
      <c r="Y23" s="7" t="n">
        <f aca="false">SUMIFS(country_annual_ha!AA$2:AA$556,country_annual_ha!$D$2:$D$556,$A23,country_annual_ha!$E$2:$E$556,$B23)</f>
        <v>1378.92455806159</v>
      </c>
      <c r="Z23" s="7" t="n">
        <f aca="false">SUMIFS(country_annual_ha!AB$2:AB$556,country_annual_ha!$D$2:$D$556,$A23,country_annual_ha!$E$2:$E$556,$B23)</f>
        <v>548.481220573068</v>
      </c>
    </row>
    <row r="24" customFormat="false" ht="15" hidden="false" customHeight="false" outlineLevel="0" collapsed="false">
      <c r="A24" s="4" t="s">
        <v>45</v>
      </c>
      <c r="B24" s="4" t="s">
        <v>92</v>
      </c>
      <c r="C24" s="4" t="s">
        <v>46</v>
      </c>
      <c r="D24" s="7" t="n">
        <f aca="false">SUMIFS(country_annual_ha!F$2:F$556,country_annual_ha!$D$2:$D$556,$A24,country_annual_ha!$E$2:$E$556,$B24)</f>
        <v>16270.8626720805</v>
      </c>
      <c r="E24" s="7" t="n">
        <f aca="false">SUMIFS(country_annual_ha!G$2:G$556,country_annual_ha!$D$2:$D$556,$A24,country_annual_ha!$E$2:$E$556,$B24)</f>
        <v>12985.0747593513</v>
      </c>
      <c r="F24" s="7" t="n">
        <f aca="false">SUMIFS(country_annual_ha!H$2:H$556,country_annual_ha!$D$2:$D$556,$A24,country_annual_ha!$E$2:$E$556,$B24)</f>
        <v>6694.15246850193</v>
      </c>
      <c r="G24" s="7" t="n">
        <f aca="false">SUMIFS(country_annual_ha!I$2:I$556,country_annual_ha!$D$2:$D$556,$A24,country_annual_ha!$E$2:$E$556,$B24)</f>
        <v>16444.5186284325</v>
      </c>
      <c r="H24" s="7" t="n">
        <f aca="false">SUMIFS(country_annual_ha!J$2:J$556,country_annual_ha!$D$2:$D$556,$A24,country_annual_ha!$E$2:$E$556,$B24)</f>
        <v>8717.0286637158</v>
      </c>
      <c r="I24" s="7" t="n">
        <f aca="false">SUMIFS(country_annual_ha!K$2:K$556,country_annual_ha!$D$2:$D$556,$A24,country_annual_ha!$E$2:$E$556,$B24)</f>
        <v>7853.54800306793</v>
      </c>
      <c r="J24" s="7" t="n">
        <f aca="false">SUMIFS(country_annual_ha!L$2:L$556,country_annual_ha!$D$2:$D$556,$A24,country_annual_ha!$E$2:$E$556,$B24)</f>
        <v>7717.11916434787</v>
      </c>
      <c r="K24" s="7" t="n">
        <f aca="false">SUMIFS(country_annual_ha!M$2:M$556,country_annual_ha!$D$2:$D$556,$A24,country_annual_ha!$E$2:$E$556,$B24)</f>
        <v>8204.57338138278</v>
      </c>
      <c r="L24" s="7" t="n">
        <f aca="false">SUMIFS(country_annual_ha!N$2:N$556,country_annual_ha!$D$2:$D$556,$A24,country_annual_ha!$E$2:$E$556,$B24)</f>
        <v>9383.22404498912</v>
      </c>
      <c r="M24" s="7" t="n">
        <f aca="false">SUMIFS(country_annual_ha!O$2:O$556,country_annual_ha!$D$2:$D$556,$A24,country_annual_ha!$E$2:$E$556,$B24)</f>
        <v>10383.6936650577</v>
      </c>
      <c r="N24" s="7" t="n">
        <f aca="false">SUMIFS(country_annual_ha!P$2:P$556,country_annual_ha!$D$2:$D$556,$A24,country_annual_ha!$E$2:$E$556,$B24)</f>
        <v>9271.73253179431</v>
      </c>
      <c r="O24" s="7" t="n">
        <f aca="false">SUMIFS(country_annual_ha!Q$2:Q$556,country_annual_ha!$D$2:$D$556,$A24,country_annual_ha!$E$2:$E$556,$B24)</f>
        <v>16123.4695768013</v>
      </c>
      <c r="P24" s="7" t="n">
        <f aca="false">SUMIFS(country_annual_ha!R$2:R$556,country_annual_ha!$D$2:$D$556,$A24,country_annual_ha!$E$2:$E$556,$B24)</f>
        <v>11282.613049544</v>
      </c>
      <c r="Q24" s="7" t="n">
        <f aca="false">SUMIFS(country_annual_ha!S$2:S$556,country_annual_ha!$D$2:$D$556,$A24,country_annual_ha!$E$2:$E$556,$B24)</f>
        <v>8197.92868973058</v>
      </c>
      <c r="R24" s="7" t="n">
        <f aca="false">SUMIFS(country_annual_ha!T$2:T$556,country_annual_ha!$D$2:$D$556,$A24,country_annual_ha!$E$2:$E$556,$B24)</f>
        <v>4885.15103127773</v>
      </c>
      <c r="S24" s="7" t="n">
        <f aca="false">SUMIFS(country_annual_ha!U$2:U$556,country_annual_ha!$D$2:$D$556,$A24,country_annual_ha!$E$2:$E$556,$B24)</f>
        <v>5088.70461560171</v>
      </c>
      <c r="T24" s="7" t="n">
        <f aca="false">SUMIFS(country_annual_ha!V$2:V$556,country_annual_ha!$D$2:$D$556,$A24,country_annual_ha!$E$2:$E$556,$B24)</f>
        <v>5269.980977047</v>
      </c>
      <c r="U24" s="7" t="n">
        <f aca="false">SUMIFS(country_annual_ha!W$2:W$556,country_annual_ha!$D$2:$D$556,$A24,country_annual_ha!$E$2:$E$556,$B24)</f>
        <v>3156.02631963567</v>
      </c>
      <c r="V24" s="7" t="n">
        <f aca="false">SUMIFS(country_annual_ha!X$2:X$556,country_annual_ha!$D$2:$D$556,$A24,country_annual_ha!$E$2:$E$556,$B24)</f>
        <v>2942.41936631336</v>
      </c>
      <c r="W24" s="7" t="n">
        <f aca="false">SUMIFS(country_annual_ha!Y$2:Y$556,country_annual_ha!$D$2:$D$556,$A24,country_annual_ha!$E$2:$E$556,$B24)</f>
        <v>3732.22860431502</v>
      </c>
      <c r="X24" s="7" t="n">
        <f aca="false">SUMIFS(country_annual_ha!Z$2:Z$556,country_annual_ha!$D$2:$D$556,$A24,country_annual_ha!$E$2:$E$556,$B24)</f>
        <v>2638.16857192027</v>
      </c>
      <c r="Y24" s="7" t="n">
        <f aca="false">SUMIFS(country_annual_ha!AA$2:AA$556,country_annual_ha!$D$2:$D$556,$A24,country_annual_ha!$E$2:$E$556,$B24)</f>
        <v>2293.20686172191</v>
      </c>
      <c r="Z24" s="7" t="n">
        <f aca="false">SUMIFS(country_annual_ha!AB$2:AB$556,country_annual_ha!$D$2:$D$556,$A24,country_annual_ha!$E$2:$E$556,$B24)</f>
        <v>1050.98619839258</v>
      </c>
    </row>
    <row r="25" customFormat="false" ht="15" hidden="false" customHeight="false" outlineLevel="0" collapsed="false">
      <c r="A25" s="4" t="s">
        <v>45</v>
      </c>
      <c r="B25" s="4" t="s">
        <v>93</v>
      </c>
      <c r="C25" s="4" t="s">
        <v>46</v>
      </c>
      <c r="D25" s="7" t="n">
        <f aca="false">SUMIFS(country_annual_ha!F$2:F$556,country_annual_ha!$D$2:$D$556,$A25,country_annual_ha!$E$2:$E$556,$B25)</f>
        <v>0</v>
      </c>
      <c r="E25" s="7" t="n">
        <f aca="false">SUMIFS(country_annual_ha!G$2:G$556,country_annual_ha!$D$2:$D$556,$A25,country_annual_ha!$E$2:$E$556,$B25)</f>
        <v>0</v>
      </c>
      <c r="F25" s="7" t="n">
        <f aca="false">SUMIFS(country_annual_ha!H$2:H$556,country_annual_ha!$D$2:$D$556,$A25,country_annual_ha!$E$2:$E$556,$B25)</f>
        <v>0</v>
      </c>
      <c r="G25" s="7" t="n">
        <f aca="false">SUMIFS(country_annual_ha!I$2:I$556,country_annual_ha!$D$2:$D$556,$A25,country_annual_ha!$E$2:$E$556,$B25)</f>
        <v>0</v>
      </c>
      <c r="H25" s="7" t="n">
        <f aca="false">SUMIFS(country_annual_ha!J$2:J$556,country_annual_ha!$D$2:$D$556,$A25,country_annual_ha!$E$2:$E$556,$B25)</f>
        <v>0</v>
      </c>
      <c r="I25" s="7" t="n">
        <f aca="false">SUMIFS(country_annual_ha!K$2:K$556,country_annual_ha!$D$2:$D$556,$A25,country_annual_ha!$E$2:$E$556,$B25)</f>
        <v>0</v>
      </c>
      <c r="J25" s="7" t="n">
        <f aca="false">SUMIFS(country_annual_ha!L$2:L$556,country_annual_ha!$D$2:$D$556,$A25,country_annual_ha!$E$2:$E$556,$B25)</f>
        <v>0</v>
      </c>
      <c r="K25" s="7" t="n">
        <f aca="false">SUMIFS(country_annual_ha!M$2:M$556,country_annual_ha!$D$2:$D$556,$A25,country_annual_ha!$E$2:$E$556,$B25)</f>
        <v>0</v>
      </c>
      <c r="L25" s="7" t="n">
        <f aca="false">SUMIFS(country_annual_ha!N$2:N$556,country_annual_ha!$D$2:$D$556,$A25,country_annual_ha!$E$2:$E$556,$B25)</f>
        <v>0</v>
      </c>
      <c r="M25" s="7" t="n">
        <f aca="false">SUMIFS(country_annual_ha!O$2:O$556,country_annual_ha!$D$2:$D$556,$A25,country_annual_ha!$E$2:$E$556,$B25)</f>
        <v>0</v>
      </c>
      <c r="N25" s="7" t="n">
        <f aca="false">SUMIFS(country_annual_ha!P$2:P$556,country_annual_ha!$D$2:$D$556,$A25,country_annual_ha!$E$2:$E$556,$B25)</f>
        <v>0</v>
      </c>
      <c r="O25" s="7" t="n">
        <f aca="false">SUMIFS(country_annual_ha!Q$2:Q$556,country_annual_ha!$D$2:$D$556,$A25,country_annual_ha!$E$2:$E$556,$B25)</f>
        <v>0</v>
      </c>
      <c r="P25" s="7" t="n">
        <f aca="false">SUMIFS(country_annual_ha!R$2:R$556,country_annual_ha!$D$2:$D$556,$A25,country_annual_ha!$E$2:$E$556,$B25)</f>
        <v>0</v>
      </c>
      <c r="Q25" s="7" t="n">
        <f aca="false">SUMIFS(country_annual_ha!S$2:S$556,country_annual_ha!$D$2:$D$556,$A25,country_annual_ha!$E$2:$E$556,$B25)</f>
        <v>0</v>
      </c>
      <c r="R25" s="7" t="n">
        <f aca="false">SUMIFS(country_annual_ha!T$2:T$556,country_annual_ha!$D$2:$D$556,$A25,country_annual_ha!$E$2:$E$556,$B25)</f>
        <v>0</v>
      </c>
      <c r="S25" s="7" t="n">
        <f aca="false">SUMIFS(country_annual_ha!U$2:U$556,country_annual_ha!$D$2:$D$556,$A25,country_annual_ha!$E$2:$E$556,$B25)</f>
        <v>0</v>
      </c>
      <c r="T25" s="7" t="n">
        <f aca="false">SUMIFS(country_annual_ha!V$2:V$556,country_annual_ha!$D$2:$D$556,$A25,country_annual_ha!$E$2:$E$556,$B25)</f>
        <v>0</v>
      </c>
      <c r="U25" s="7" t="n">
        <f aca="false">SUMIFS(country_annual_ha!W$2:W$556,country_annual_ha!$D$2:$D$556,$A25,country_annual_ha!$E$2:$E$556,$B25)</f>
        <v>0</v>
      </c>
      <c r="V25" s="7" t="n">
        <f aca="false">SUMIFS(country_annual_ha!X$2:X$556,country_annual_ha!$D$2:$D$556,$A25,country_annual_ha!$E$2:$E$556,$B25)</f>
        <v>0</v>
      </c>
      <c r="W25" s="7" t="n">
        <f aca="false">SUMIFS(country_annual_ha!Y$2:Y$556,country_annual_ha!$D$2:$D$556,$A25,country_annual_ha!$E$2:$E$556,$B25)</f>
        <v>0</v>
      </c>
      <c r="X25" s="7" t="n">
        <f aca="false">SUMIFS(country_annual_ha!Z$2:Z$556,country_annual_ha!$D$2:$D$556,$A25,country_annual_ha!$E$2:$E$556,$B25)</f>
        <v>0</v>
      </c>
      <c r="Y25" s="7" t="n">
        <f aca="false">SUMIFS(country_annual_ha!AA$2:AA$556,country_annual_ha!$D$2:$D$556,$A25,country_annual_ha!$E$2:$E$556,$B25)</f>
        <v>0</v>
      </c>
      <c r="Z25" s="7" t="n">
        <f aca="false">SUMIFS(country_annual_ha!AB$2:AB$556,country_annual_ha!$D$2:$D$556,$A25,country_annual_ha!$E$2:$E$556,$B25)</f>
        <v>0</v>
      </c>
    </row>
    <row r="26" customFormat="false" ht="15" hidden="false" customHeight="false" outlineLevel="0" collapsed="false">
      <c r="A26" s="4" t="s">
        <v>47</v>
      </c>
      <c r="B26" s="4" t="s">
        <v>91</v>
      </c>
      <c r="C26" s="4" t="s">
        <v>48</v>
      </c>
      <c r="D26" s="7" t="n">
        <f aca="false">SUMIFS(country_annual_ha!F$2:F$556,country_annual_ha!$D$2:$D$556,$A26,country_annual_ha!$E$2:$E$556,$B26)</f>
        <v>138523.311270956</v>
      </c>
      <c r="E26" s="7" t="n">
        <f aca="false">SUMIFS(country_annual_ha!G$2:G$556,country_annual_ha!$D$2:$D$556,$A26,country_annual_ha!$E$2:$E$556,$B26)</f>
        <v>151137.392773887</v>
      </c>
      <c r="F26" s="7" t="n">
        <f aca="false">SUMIFS(country_annual_ha!H$2:H$556,country_annual_ha!$D$2:$D$556,$A26,country_annual_ha!$E$2:$E$556,$B26)</f>
        <v>116749.908324434</v>
      </c>
      <c r="G26" s="7" t="n">
        <f aca="false">SUMIFS(country_annual_ha!I$2:I$556,country_annual_ha!$D$2:$D$556,$A26,country_annual_ha!$E$2:$E$556,$B26)</f>
        <v>161090.225373678</v>
      </c>
      <c r="H26" s="7" t="n">
        <f aca="false">SUMIFS(country_annual_ha!J$2:J$556,country_annual_ha!$D$2:$D$556,$A26,country_annual_ha!$E$2:$E$556,$B26)</f>
        <v>165026.288854643</v>
      </c>
      <c r="I26" s="7" t="n">
        <f aca="false">SUMIFS(country_annual_ha!K$2:K$556,country_annual_ha!$D$2:$D$556,$A26,country_annual_ha!$E$2:$E$556,$B26)</f>
        <v>215080.837002841</v>
      </c>
      <c r="J26" s="7" t="n">
        <f aca="false">SUMIFS(country_annual_ha!L$2:L$556,country_annual_ha!$D$2:$D$556,$A26,country_annual_ha!$E$2:$E$556,$B26)</f>
        <v>236922.227258406</v>
      </c>
      <c r="K26" s="7" t="n">
        <f aca="false">SUMIFS(country_annual_ha!M$2:M$556,country_annual_ha!$D$2:$D$556,$A26,country_annual_ha!$E$2:$E$556,$B26)</f>
        <v>203360.71662029</v>
      </c>
      <c r="L26" s="7" t="n">
        <f aca="false">SUMIFS(country_annual_ha!N$2:N$556,country_annual_ha!$D$2:$D$556,$A26,country_annual_ha!$E$2:$E$556,$B26)</f>
        <v>267072.915496795</v>
      </c>
      <c r="M26" s="7" t="n">
        <f aca="false">SUMIFS(country_annual_ha!O$2:O$556,country_annual_ha!$D$2:$D$556,$A26,country_annual_ha!$E$2:$E$556,$B26)</f>
        <v>221449.49912078</v>
      </c>
      <c r="N26" s="7" t="n">
        <f aca="false">SUMIFS(country_annual_ha!P$2:P$556,country_annual_ha!$D$2:$D$556,$A26,country_annual_ha!$E$2:$E$556,$B26)</f>
        <v>171385.73791518</v>
      </c>
      <c r="O26" s="7" t="n">
        <f aca="false">SUMIFS(country_annual_ha!Q$2:Q$556,country_annual_ha!$D$2:$D$556,$A26,country_annual_ha!$E$2:$E$556,$B26)</f>
        <v>259443.894509767</v>
      </c>
      <c r="P26" s="7" t="n">
        <f aca="false">SUMIFS(country_annual_ha!R$2:R$556,country_annual_ha!$D$2:$D$556,$A26,country_annual_ha!$E$2:$E$556,$B26)</f>
        <v>170468.040130347</v>
      </c>
      <c r="Q26" s="7" t="n">
        <f aca="false">SUMIFS(country_annual_ha!S$2:S$556,country_annual_ha!$D$2:$D$556,$A26,country_annual_ha!$E$2:$E$556,$B26)</f>
        <v>225118.544339868</v>
      </c>
      <c r="R26" s="7" t="n">
        <f aca="false">SUMIFS(country_annual_ha!T$2:T$556,country_annual_ha!$D$2:$D$556,$A26,country_annual_ha!$E$2:$E$556,$B26)</f>
        <v>180615.462974908</v>
      </c>
      <c r="S26" s="7" t="n">
        <f aca="false">SUMIFS(country_annual_ha!U$2:U$556,country_annual_ha!$D$2:$D$556,$A26,country_annual_ha!$E$2:$E$556,$B26)</f>
        <v>238385.094926283</v>
      </c>
      <c r="T26" s="7" t="n">
        <f aca="false">SUMIFS(country_annual_ha!V$2:V$556,country_annual_ha!$D$2:$D$556,$A26,country_annual_ha!$E$2:$E$556,$B26)</f>
        <v>350020.457757752</v>
      </c>
      <c r="U26" s="7" t="n">
        <f aca="false">SUMIFS(country_annual_ha!W$2:W$556,country_annual_ha!$D$2:$D$556,$A26,country_annual_ha!$E$2:$E$556,$B26)</f>
        <v>173658.527122441</v>
      </c>
      <c r="V26" s="7" t="n">
        <f aca="false">SUMIFS(country_annual_ha!X$2:X$556,country_annual_ha!$D$2:$D$556,$A26,country_annual_ha!$E$2:$E$556,$B26)</f>
        <v>123540.556942502</v>
      </c>
      <c r="W26" s="7" t="n">
        <f aca="false">SUMIFS(country_annual_ha!Y$2:Y$556,country_annual_ha!$D$2:$D$556,$A26,country_annual_ha!$E$2:$E$556,$B26)</f>
        <v>65992.4837851665</v>
      </c>
      <c r="X26" s="7" t="n">
        <f aca="false">SUMIFS(country_annual_ha!Z$2:Z$556,country_annual_ha!$D$2:$D$556,$A26,country_annual_ha!$E$2:$E$556,$B26)</f>
        <v>57160.1019623097</v>
      </c>
      <c r="Y26" s="7" t="n">
        <f aca="false">SUMIFS(country_annual_ha!AA$2:AA$556,country_annual_ha!$D$2:$D$556,$A26,country_annual_ha!$E$2:$E$556,$B26)</f>
        <v>155499.20657365</v>
      </c>
      <c r="Z26" s="7" t="n">
        <f aca="false">SUMIFS(country_annual_ha!AB$2:AB$556,country_annual_ha!$D$2:$D$556,$A26,country_annual_ha!$E$2:$E$556,$B26)</f>
        <v>87376.4132493644</v>
      </c>
    </row>
    <row r="27" customFormat="false" ht="15" hidden="false" customHeight="false" outlineLevel="0" collapsed="false">
      <c r="A27" s="4" t="s">
        <v>47</v>
      </c>
      <c r="B27" s="4" t="s">
        <v>92</v>
      </c>
      <c r="C27" s="4" t="s">
        <v>48</v>
      </c>
      <c r="D27" s="7" t="n">
        <f aca="false">SUMIFS(country_annual_ha!F$2:F$556,country_annual_ha!$D$2:$D$556,$A27,country_annual_ha!$E$2:$E$556,$B27)</f>
        <v>12106.8969000105</v>
      </c>
      <c r="E27" s="7" t="n">
        <f aca="false">SUMIFS(country_annual_ha!G$2:G$556,country_annual_ha!$D$2:$D$556,$A27,country_annual_ha!$E$2:$E$556,$B27)</f>
        <v>17562.3613476158</v>
      </c>
      <c r="F27" s="7" t="n">
        <f aca="false">SUMIFS(country_annual_ha!H$2:H$556,country_annual_ha!$D$2:$D$556,$A27,country_annual_ha!$E$2:$E$556,$B27)</f>
        <v>18013.769591686</v>
      </c>
      <c r="G27" s="7" t="n">
        <f aca="false">SUMIFS(country_annual_ha!I$2:I$556,country_annual_ha!$D$2:$D$556,$A27,country_annual_ha!$E$2:$E$556,$B27)</f>
        <v>25085.7237677918</v>
      </c>
      <c r="H27" s="7" t="n">
        <f aca="false">SUMIFS(country_annual_ha!J$2:J$556,country_annual_ha!$D$2:$D$556,$A27,country_annual_ha!$E$2:$E$556,$B27)</f>
        <v>20691.7699278438</v>
      </c>
      <c r="I27" s="7" t="n">
        <f aca="false">SUMIFS(country_annual_ha!K$2:K$556,country_annual_ha!$D$2:$D$556,$A27,country_annual_ha!$E$2:$E$556,$B27)</f>
        <v>18049.5771036407</v>
      </c>
      <c r="J27" s="7" t="n">
        <f aca="false">SUMIFS(country_annual_ha!L$2:L$556,country_annual_ha!$D$2:$D$556,$A27,country_annual_ha!$E$2:$E$556,$B27)</f>
        <v>16953.0731223523</v>
      </c>
      <c r="K27" s="7" t="n">
        <f aca="false">SUMIFS(country_annual_ha!M$2:M$556,country_annual_ha!$D$2:$D$556,$A27,country_annual_ha!$E$2:$E$556,$B27)</f>
        <v>12483.9048826762</v>
      </c>
      <c r="L27" s="7" t="n">
        <f aca="false">SUMIFS(country_annual_ha!N$2:N$556,country_annual_ha!$D$2:$D$556,$A27,country_annual_ha!$E$2:$E$556,$B27)</f>
        <v>15264.1772941106</v>
      </c>
      <c r="M27" s="7" t="n">
        <f aca="false">SUMIFS(country_annual_ha!O$2:O$556,country_annual_ha!$D$2:$D$556,$A27,country_annual_ha!$E$2:$E$556,$B27)</f>
        <v>11660.1667208841</v>
      </c>
      <c r="N27" s="7" t="n">
        <f aca="false">SUMIFS(country_annual_ha!P$2:P$556,country_annual_ha!$D$2:$D$556,$A27,country_annual_ha!$E$2:$E$556,$B27)</f>
        <v>10872.5533986352</v>
      </c>
      <c r="O27" s="7" t="n">
        <f aca="false">SUMIFS(country_annual_ha!Q$2:Q$556,country_annual_ha!$D$2:$D$556,$A27,country_annual_ha!$E$2:$E$556,$B27)</f>
        <v>23070.1381601527</v>
      </c>
      <c r="P27" s="7" t="n">
        <f aca="false">SUMIFS(country_annual_ha!R$2:R$556,country_annual_ha!$D$2:$D$556,$A27,country_annual_ha!$E$2:$E$556,$B27)</f>
        <v>19027.887106173</v>
      </c>
      <c r="Q27" s="7" t="n">
        <f aca="false">SUMIFS(country_annual_ha!S$2:S$556,country_annual_ha!$D$2:$D$556,$A27,country_annual_ha!$E$2:$E$556,$B27)</f>
        <v>37730.5304069683</v>
      </c>
      <c r="R27" s="7" t="n">
        <f aca="false">SUMIFS(country_annual_ha!T$2:T$556,country_annual_ha!$D$2:$D$556,$A27,country_annual_ha!$E$2:$E$556,$B27)</f>
        <v>17367.4976077086</v>
      </c>
      <c r="S27" s="7" t="n">
        <f aca="false">SUMIFS(country_annual_ha!U$2:U$556,country_annual_ha!$D$2:$D$556,$A27,country_annual_ha!$E$2:$E$556,$B27)</f>
        <v>22928.2437163822</v>
      </c>
      <c r="T27" s="7" t="n">
        <f aca="false">SUMIFS(country_annual_ha!V$2:V$556,country_annual_ha!$D$2:$D$556,$A27,country_annual_ha!$E$2:$E$556,$B27)</f>
        <v>20659.523873833</v>
      </c>
      <c r="U27" s="7" t="n">
        <f aca="false">SUMIFS(country_annual_ha!W$2:W$556,country_annual_ha!$D$2:$D$556,$A27,country_annual_ha!$E$2:$E$556,$B27)</f>
        <v>21548.7301859702</v>
      </c>
      <c r="V27" s="7" t="n">
        <f aca="false">SUMIFS(country_annual_ha!X$2:X$556,country_annual_ha!$D$2:$D$556,$A27,country_annual_ha!$E$2:$E$556,$B27)</f>
        <v>28600.7787997392</v>
      </c>
      <c r="W27" s="7" t="n">
        <f aca="false">SUMIFS(country_annual_ha!Y$2:Y$556,country_annual_ha!$D$2:$D$556,$A27,country_annual_ha!$E$2:$E$556,$B27)</f>
        <v>38081.7138964023</v>
      </c>
      <c r="X27" s="7" t="n">
        <f aca="false">SUMIFS(country_annual_ha!Z$2:Z$556,country_annual_ha!$D$2:$D$556,$A27,country_annual_ha!$E$2:$E$556,$B27)</f>
        <v>45893.9872109433</v>
      </c>
      <c r="Y27" s="7" t="n">
        <f aca="false">SUMIFS(country_annual_ha!AA$2:AA$556,country_annual_ha!$D$2:$D$556,$A27,country_annual_ha!$E$2:$E$556,$B27)</f>
        <v>51263.7517580146</v>
      </c>
      <c r="Z27" s="7" t="n">
        <f aca="false">SUMIFS(country_annual_ha!AB$2:AB$556,country_annual_ha!$D$2:$D$556,$A27,country_annual_ha!$E$2:$E$556,$B27)</f>
        <v>43308.778151964</v>
      </c>
    </row>
    <row r="28" customFormat="false" ht="15" hidden="false" customHeight="false" outlineLevel="0" collapsed="false">
      <c r="A28" s="4" t="s">
        <v>47</v>
      </c>
      <c r="B28" s="4" t="s">
        <v>93</v>
      </c>
      <c r="C28" s="4" t="s">
        <v>48</v>
      </c>
      <c r="D28" s="7" t="n">
        <f aca="false">SUMIFS(country_annual_ha!F$2:F$556,country_annual_ha!$D$2:$D$556,$A28,country_annual_ha!$E$2:$E$556,$B28)</f>
        <v>1215.34918462915</v>
      </c>
      <c r="E28" s="7" t="n">
        <f aca="false">SUMIFS(country_annual_ha!G$2:G$556,country_annual_ha!$D$2:$D$556,$A28,country_annual_ha!$E$2:$E$556,$B28)</f>
        <v>1394.64272859626</v>
      </c>
      <c r="F28" s="7" t="n">
        <f aca="false">SUMIFS(country_annual_ha!H$2:H$556,country_annual_ha!$D$2:$D$556,$A28,country_annual_ha!$E$2:$E$556,$B28)</f>
        <v>1738.43975513762</v>
      </c>
      <c r="G28" s="7" t="n">
        <f aca="false">SUMIFS(country_annual_ha!I$2:I$556,country_annual_ha!$D$2:$D$556,$A28,country_annual_ha!$E$2:$E$556,$B28)</f>
        <v>3246.43277549422</v>
      </c>
      <c r="H28" s="7" t="n">
        <f aca="false">SUMIFS(country_annual_ha!J$2:J$556,country_annual_ha!$D$2:$D$556,$A28,country_annual_ha!$E$2:$E$556,$B28)</f>
        <v>2579.40003561489</v>
      </c>
      <c r="I28" s="7" t="n">
        <f aca="false">SUMIFS(country_annual_ha!K$2:K$556,country_annual_ha!$D$2:$D$556,$A28,country_annual_ha!$E$2:$E$556,$B28)</f>
        <v>3083.43213384245</v>
      </c>
      <c r="J28" s="7" t="n">
        <f aca="false">SUMIFS(country_annual_ha!L$2:L$556,country_annual_ha!$D$2:$D$556,$A28,country_annual_ha!$E$2:$E$556,$B28)</f>
        <v>2740.25778976608</v>
      </c>
      <c r="K28" s="7" t="n">
        <f aca="false">SUMIFS(country_annual_ha!M$2:M$556,country_annual_ha!$D$2:$D$556,$A28,country_annual_ha!$E$2:$E$556,$B28)</f>
        <v>7405.99682645678</v>
      </c>
      <c r="L28" s="7" t="n">
        <f aca="false">SUMIFS(country_annual_ha!N$2:N$556,country_annual_ha!$D$2:$D$556,$A28,country_annual_ha!$E$2:$E$556,$B28)</f>
        <v>45440.1008471755</v>
      </c>
      <c r="M28" s="7" t="n">
        <f aca="false">SUMIFS(country_annual_ha!O$2:O$556,country_annual_ha!$D$2:$D$556,$A28,country_annual_ha!$E$2:$E$556,$B28)</f>
        <v>51451.2132830849</v>
      </c>
      <c r="N28" s="7" t="n">
        <f aca="false">SUMIFS(country_annual_ha!P$2:P$556,country_annual_ha!$D$2:$D$556,$A28,country_annual_ha!$E$2:$E$556,$B28)</f>
        <v>46686.7779887624</v>
      </c>
      <c r="O28" s="7" t="n">
        <f aca="false">SUMIFS(country_annual_ha!Q$2:Q$556,country_annual_ha!$D$2:$D$556,$A28,country_annual_ha!$E$2:$E$556,$B28)</f>
        <v>83133.352162991</v>
      </c>
      <c r="P28" s="7" t="n">
        <f aca="false">SUMIFS(country_annual_ha!R$2:R$556,country_annual_ha!$D$2:$D$556,$A28,country_annual_ha!$E$2:$E$556,$B28)</f>
        <v>38022.9181513629</v>
      </c>
      <c r="Q28" s="7" t="n">
        <f aca="false">SUMIFS(country_annual_ha!S$2:S$556,country_annual_ha!$D$2:$D$556,$A28,country_annual_ha!$E$2:$E$556,$B28)</f>
        <v>33872.047524325</v>
      </c>
      <c r="R28" s="7" t="n">
        <f aca="false">SUMIFS(country_annual_ha!T$2:T$556,country_annual_ha!$D$2:$D$556,$A28,country_annual_ha!$E$2:$E$556,$B28)</f>
        <v>3163.41550740914</v>
      </c>
      <c r="S28" s="7" t="n">
        <f aca="false">SUMIFS(country_annual_ha!U$2:U$556,country_annual_ha!$D$2:$D$556,$A28,country_annual_ha!$E$2:$E$556,$B28)</f>
        <v>2455.79832555614</v>
      </c>
      <c r="T28" s="7" t="n">
        <f aca="false">SUMIFS(country_annual_ha!V$2:V$556,country_annual_ha!$D$2:$D$556,$A28,country_annual_ha!$E$2:$E$556,$B28)</f>
        <v>3096.28516115213</v>
      </c>
      <c r="U28" s="7" t="n">
        <f aca="false">SUMIFS(country_annual_ha!W$2:W$556,country_annual_ha!$D$2:$D$556,$A28,country_annual_ha!$E$2:$E$556,$B28)</f>
        <v>2699.64211690869</v>
      </c>
      <c r="V28" s="7" t="n">
        <f aca="false">SUMIFS(country_annual_ha!X$2:X$556,country_annual_ha!$D$2:$D$556,$A28,country_annual_ha!$E$2:$E$556,$B28)</f>
        <v>1544.02227291358</v>
      </c>
      <c r="W28" s="7" t="n">
        <f aca="false">SUMIFS(country_annual_ha!Y$2:Y$556,country_annual_ha!$D$2:$D$556,$A28,country_annual_ha!$E$2:$E$556,$B28)</f>
        <v>2207.20778114938</v>
      </c>
      <c r="X28" s="7" t="n">
        <f aca="false">SUMIFS(country_annual_ha!Z$2:Z$556,country_annual_ha!$D$2:$D$556,$A28,country_annual_ha!$E$2:$E$556,$B28)</f>
        <v>1094.77193024313</v>
      </c>
      <c r="Y28" s="7" t="n">
        <f aca="false">SUMIFS(country_annual_ha!AA$2:AA$556,country_annual_ha!$D$2:$D$556,$A28,country_annual_ha!$E$2:$E$556,$B28)</f>
        <v>3059.66675777154</v>
      </c>
      <c r="Z28" s="7" t="n">
        <f aca="false">SUMIFS(country_annual_ha!AB$2:AB$556,country_annual_ha!$D$2:$D$556,$A28,country_annual_ha!$E$2:$E$556,$B28)</f>
        <v>609.088951493207</v>
      </c>
    </row>
    <row r="29" customFormat="false" ht="15" hidden="false" customHeight="false" outlineLevel="0" collapsed="false">
      <c r="A29" s="4" t="s">
        <v>49</v>
      </c>
      <c r="B29" s="4" t="s">
        <v>91</v>
      </c>
      <c r="C29" s="4" t="s">
        <v>50</v>
      </c>
      <c r="D29" s="7" t="n">
        <f aca="false">SUMIFS(country_annual_ha!F$2:F$556,country_annual_ha!$D$2:$D$556,$A29,country_annual_ha!$E$2:$E$556,$B29)</f>
        <v>20752.8964321413</v>
      </c>
      <c r="E29" s="7" t="n">
        <f aca="false">SUMIFS(country_annual_ha!G$2:G$556,country_annual_ha!$D$2:$D$556,$A29,country_annual_ha!$E$2:$E$556,$B29)</f>
        <v>23113.5347879481</v>
      </c>
      <c r="F29" s="7" t="n">
        <f aca="false">SUMIFS(country_annual_ha!H$2:H$556,country_annual_ha!$D$2:$D$556,$A29,country_annual_ha!$E$2:$E$556,$B29)</f>
        <v>20480.4819287065</v>
      </c>
      <c r="G29" s="7" t="n">
        <f aca="false">SUMIFS(country_annual_ha!I$2:I$556,country_annual_ha!$D$2:$D$556,$A29,country_annual_ha!$E$2:$E$556,$B29)</f>
        <v>32372.9471006666</v>
      </c>
      <c r="H29" s="7" t="n">
        <f aca="false">SUMIFS(country_annual_ha!J$2:J$556,country_annual_ha!$D$2:$D$556,$A29,country_annual_ha!$E$2:$E$556,$B29)</f>
        <v>32019.4952751621</v>
      </c>
      <c r="I29" s="7" t="n">
        <f aca="false">SUMIFS(country_annual_ha!K$2:K$556,country_annual_ha!$D$2:$D$556,$A29,country_annual_ha!$E$2:$E$556,$B29)</f>
        <v>43691.4690716251</v>
      </c>
      <c r="J29" s="7" t="n">
        <f aca="false">SUMIFS(country_annual_ha!L$2:L$556,country_annual_ha!$D$2:$D$556,$A29,country_annual_ha!$E$2:$E$556,$B29)</f>
        <v>46855.833254221</v>
      </c>
      <c r="K29" s="7" t="n">
        <f aca="false">SUMIFS(country_annual_ha!M$2:M$556,country_annual_ha!$D$2:$D$556,$A29,country_annual_ha!$E$2:$E$556,$B29)</f>
        <v>24735.3926651517</v>
      </c>
      <c r="L29" s="7" t="n">
        <f aca="false">SUMIFS(country_annual_ha!N$2:N$556,country_annual_ha!$D$2:$D$556,$A29,country_annual_ha!$E$2:$E$556,$B29)</f>
        <v>16276.2035021024</v>
      </c>
      <c r="M29" s="7" t="n">
        <f aca="false">SUMIFS(country_annual_ha!O$2:O$556,country_annual_ha!$D$2:$D$556,$A29,country_annual_ha!$E$2:$E$556,$B29)</f>
        <v>14982.5901098509</v>
      </c>
      <c r="N29" s="7" t="n">
        <f aca="false">SUMIFS(country_annual_ha!P$2:P$556,country_annual_ha!$D$2:$D$556,$A29,country_annual_ha!$E$2:$E$556,$B29)</f>
        <v>13577.8622726343</v>
      </c>
      <c r="O29" s="7" t="n">
        <f aca="false">SUMIFS(country_annual_ha!Q$2:Q$556,country_annual_ha!$D$2:$D$556,$A29,country_annual_ha!$E$2:$E$556,$B29)</f>
        <v>19309.0671625312</v>
      </c>
      <c r="P29" s="7" t="n">
        <f aca="false">SUMIFS(country_annual_ha!R$2:R$556,country_annual_ha!$D$2:$D$556,$A29,country_annual_ha!$E$2:$E$556,$B29)</f>
        <v>9206.09822526731</v>
      </c>
      <c r="Q29" s="7" t="n">
        <f aca="false">SUMIFS(country_annual_ha!S$2:S$556,country_annual_ha!$D$2:$D$556,$A29,country_annual_ha!$E$2:$E$556,$B29)</f>
        <v>11996.0234434713</v>
      </c>
      <c r="R29" s="7" t="n">
        <f aca="false">SUMIFS(country_annual_ha!T$2:T$556,country_annual_ha!$D$2:$D$556,$A29,country_annual_ha!$E$2:$E$556,$B29)</f>
        <v>12001.3540098985</v>
      </c>
      <c r="S29" s="7" t="n">
        <f aca="false">SUMIFS(country_annual_ha!U$2:U$556,country_annual_ha!$D$2:$D$556,$A29,country_annual_ha!$E$2:$E$556,$B29)</f>
        <v>30533.5102327548</v>
      </c>
      <c r="T29" s="7" t="n">
        <f aca="false">SUMIFS(country_annual_ha!V$2:V$556,country_annual_ha!$D$2:$D$556,$A29,country_annual_ha!$E$2:$E$556,$B29)</f>
        <v>40156.6753448702</v>
      </c>
      <c r="U29" s="7" t="n">
        <f aca="false">SUMIFS(country_annual_ha!W$2:W$556,country_annual_ha!$D$2:$D$556,$A29,country_annual_ha!$E$2:$E$556,$B29)</f>
        <v>31591.6189862138</v>
      </c>
      <c r="V29" s="7" t="n">
        <f aca="false">SUMIFS(country_annual_ha!X$2:X$556,country_annual_ha!$D$2:$D$556,$A29,country_annual_ha!$E$2:$E$556,$B29)</f>
        <v>28335.1243365285</v>
      </c>
      <c r="W29" s="7" t="n">
        <f aca="false">SUMIFS(country_annual_ha!Y$2:Y$556,country_annual_ha!$D$2:$D$556,$A29,country_annual_ha!$E$2:$E$556,$B29)</f>
        <v>18939.7605580089</v>
      </c>
      <c r="X29" s="7" t="n">
        <f aca="false">SUMIFS(country_annual_ha!Z$2:Z$556,country_annual_ha!$D$2:$D$556,$A29,country_annual_ha!$E$2:$E$556,$B29)</f>
        <v>17916.8953534913</v>
      </c>
      <c r="Y29" s="7" t="n">
        <f aca="false">SUMIFS(country_annual_ha!AA$2:AA$556,country_annual_ha!$D$2:$D$556,$A29,country_annual_ha!$E$2:$E$556,$B29)</f>
        <v>22246.7216875763</v>
      </c>
      <c r="Z29" s="7" t="n">
        <f aca="false">SUMIFS(country_annual_ha!AB$2:AB$556,country_annual_ha!$D$2:$D$556,$A29,country_annual_ha!$E$2:$E$556,$B29)</f>
        <v>23707.3308565647</v>
      </c>
    </row>
    <row r="30" customFormat="false" ht="15" hidden="false" customHeight="false" outlineLevel="0" collapsed="false">
      <c r="A30" s="4" t="s">
        <v>49</v>
      </c>
      <c r="B30" s="4" t="s">
        <v>92</v>
      </c>
      <c r="C30" s="4" t="s">
        <v>50</v>
      </c>
      <c r="D30" s="7" t="n">
        <f aca="false">SUMIFS(country_annual_ha!F$2:F$556,country_annual_ha!$D$2:$D$556,$A30,country_annual_ha!$E$2:$E$556,$B30)</f>
        <v>8306.82640009948</v>
      </c>
      <c r="E30" s="7" t="n">
        <f aca="false">SUMIFS(country_annual_ha!G$2:G$556,country_annual_ha!$D$2:$D$556,$A30,country_annual_ha!$E$2:$E$556,$B30)</f>
        <v>10037.2706004777</v>
      </c>
      <c r="F30" s="7" t="n">
        <f aca="false">SUMIFS(country_annual_ha!H$2:H$556,country_annual_ha!$D$2:$D$556,$A30,country_annual_ha!$E$2:$E$556,$B30)</f>
        <v>8564.74898103759</v>
      </c>
      <c r="G30" s="7" t="n">
        <f aca="false">SUMIFS(country_annual_ha!I$2:I$556,country_annual_ha!$D$2:$D$556,$A30,country_annual_ha!$E$2:$E$556,$B30)</f>
        <v>12589.0830173631</v>
      </c>
      <c r="H30" s="7" t="n">
        <f aca="false">SUMIFS(country_annual_ha!J$2:J$556,country_annual_ha!$D$2:$D$556,$A30,country_annual_ha!$E$2:$E$556,$B30)</f>
        <v>9122.0942274404</v>
      </c>
      <c r="I30" s="7" t="n">
        <f aca="false">SUMIFS(country_annual_ha!K$2:K$556,country_annual_ha!$D$2:$D$556,$A30,country_annual_ha!$E$2:$E$556,$B30)</f>
        <v>13874.4417808151</v>
      </c>
      <c r="J30" s="7" t="n">
        <f aca="false">SUMIFS(country_annual_ha!L$2:L$556,country_annual_ha!$D$2:$D$556,$A30,country_annual_ha!$E$2:$E$556,$B30)</f>
        <v>25880.6513701011</v>
      </c>
      <c r="K30" s="7" t="n">
        <f aca="false">SUMIFS(country_annual_ha!M$2:M$556,country_annual_ha!$D$2:$D$556,$A30,country_annual_ha!$E$2:$E$556,$B30)</f>
        <v>33701.4253659524</v>
      </c>
      <c r="L30" s="7" t="n">
        <f aca="false">SUMIFS(country_annual_ha!N$2:N$556,country_annual_ha!$D$2:$D$556,$A30,country_annual_ha!$E$2:$E$556,$B30)</f>
        <v>58577.910113004</v>
      </c>
      <c r="M30" s="7" t="n">
        <f aca="false">SUMIFS(country_annual_ha!O$2:O$556,country_annual_ha!$D$2:$D$556,$A30,country_annual_ha!$E$2:$E$556,$B30)</f>
        <v>56875.9192511361</v>
      </c>
      <c r="N30" s="7" t="n">
        <f aca="false">SUMIFS(country_annual_ha!P$2:P$556,country_annual_ha!$D$2:$D$556,$A30,country_annual_ha!$E$2:$E$556,$B30)</f>
        <v>50495.7054759761</v>
      </c>
      <c r="O30" s="7" t="n">
        <f aca="false">SUMIFS(country_annual_ha!Q$2:Q$556,country_annual_ha!$D$2:$D$556,$A30,country_annual_ha!$E$2:$E$556,$B30)</f>
        <v>63331.1051111719</v>
      </c>
      <c r="P30" s="7" t="n">
        <f aca="false">SUMIFS(country_annual_ha!R$2:R$556,country_annual_ha!$D$2:$D$556,$A30,country_annual_ha!$E$2:$E$556,$B30)</f>
        <v>36898.2875567685</v>
      </c>
      <c r="Q30" s="7" t="n">
        <f aca="false">SUMIFS(country_annual_ha!S$2:S$556,country_annual_ha!$D$2:$D$556,$A30,country_annual_ha!$E$2:$E$556,$B30)</f>
        <v>48422.6533487606</v>
      </c>
      <c r="R30" s="7" t="n">
        <f aca="false">SUMIFS(country_annual_ha!T$2:T$556,country_annual_ha!$D$2:$D$556,$A30,country_annual_ha!$E$2:$E$556,$B30)</f>
        <v>44511.3635025177</v>
      </c>
      <c r="S30" s="7" t="n">
        <f aca="false">SUMIFS(country_annual_ha!U$2:U$556,country_annual_ha!$D$2:$D$556,$A30,country_annual_ha!$E$2:$E$556,$B30)</f>
        <v>59191.8599562494</v>
      </c>
      <c r="T30" s="7" t="n">
        <f aca="false">SUMIFS(country_annual_ha!V$2:V$556,country_annual_ha!$D$2:$D$556,$A30,country_annual_ha!$E$2:$E$556,$B30)</f>
        <v>49285.1420865848</v>
      </c>
      <c r="U30" s="7" t="n">
        <f aca="false">SUMIFS(country_annual_ha!W$2:W$556,country_annual_ha!$D$2:$D$556,$A30,country_annual_ha!$E$2:$E$556,$B30)</f>
        <v>40239.3119534097</v>
      </c>
      <c r="V30" s="7" t="n">
        <f aca="false">SUMIFS(country_annual_ha!X$2:X$556,country_annual_ha!$D$2:$D$556,$A30,country_annual_ha!$E$2:$E$556,$B30)</f>
        <v>26600.6322418057</v>
      </c>
      <c r="W30" s="7" t="n">
        <f aca="false">SUMIFS(country_annual_ha!Y$2:Y$556,country_annual_ha!$D$2:$D$556,$A30,country_annual_ha!$E$2:$E$556,$B30)</f>
        <v>20725.9754223605</v>
      </c>
      <c r="X30" s="7" t="n">
        <f aca="false">SUMIFS(country_annual_ha!Z$2:Z$556,country_annual_ha!$D$2:$D$556,$A30,country_annual_ha!$E$2:$E$556,$B30)</f>
        <v>19224.814671932</v>
      </c>
      <c r="Y30" s="7" t="n">
        <f aca="false">SUMIFS(country_annual_ha!AA$2:AA$556,country_annual_ha!$D$2:$D$556,$A30,country_annual_ha!$E$2:$E$556,$B30)</f>
        <v>22547.1545838492</v>
      </c>
      <c r="Z30" s="7" t="n">
        <f aca="false">SUMIFS(country_annual_ha!AB$2:AB$556,country_annual_ha!$D$2:$D$556,$A30,country_annual_ha!$E$2:$E$556,$B30)</f>
        <v>26739.7398291288</v>
      </c>
    </row>
    <row r="31" customFormat="false" ht="15" hidden="false" customHeight="false" outlineLevel="0" collapsed="false">
      <c r="A31" s="4" t="s">
        <v>49</v>
      </c>
      <c r="B31" s="4" t="s">
        <v>93</v>
      </c>
      <c r="C31" s="4" t="s">
        <v>50</v>
      </c>
      <c r="D31" s="7" t="n">
        <f aca="false">SUMIFS(country_annual_ha!F$2:F$556,country_annual_ha!$D$2:$D$556,$A31,country_annual_ha!$E$2:$E$556,$B31)</f>
        <v>121065.002968401</v>
      </c>
      <c r="E31" s="7" t="n">
        <f aca="false">SUMIFS(country_annual_ha!G$2:G$556,country_annual_ha!$D$2:$D$556,$A31,country_annual_ha!$E$2:$E$556,$B31)</f>
        <v>124334.311411654</v>
      </c>
      <c r="F31" s="7" t="n">
        <f aca="false">SUMIFS(country_annual_ha!H$2:H$556,country_annual_ha!$D$2:$D$556,$A31,country_annual_ha!$E$2:$E$556,$B31)</f>
        <v>105378.776484951</v>
      </c>
      <c r="G31" s="7" t="n">
        <f aca="false">SUMIFS(country_annual_ha!I$2:I$556,country_annual_ha!$D$2:$D$556,$A31,country_annual_ha!$E$2:$E$556,$B31)</f>
        <v>243749.621124558</v>
      </c>
      <c r="H31" s="7" t="n">
        <f aca="false">SUMIFS(country_annual_ha!J$2:J$556,country_annual_ha!$D$2:$D$556,$A31,country_annual_ha!$E$2:$E$556,$B31)</f>
        <v>212511.78926855</v>
      </c>
      <c r="I31" s="7" t="n">
        <f aca="false">SUMIFS(country_annual_ha!K$2:K$556,country_annual_ha!$D$2:$D$556,$A31,country_annual_ha!$E$2:$E$556,$B31)</f>
        <v>286830.049674152</v>
      </c>
      <c r="J31" s="7" t="n">
        <f aca="false">SUMIFS(country_annual_ha!L$2:L$556,country_annual_ha!$D$2:$D$556,$A31,country_annual_ha!$E$2:$E$556,$B31)</f>
        <v>330646.000000003</v>
      </c>
      <c r="K31" s="7" t="n">
        <f aca="false">SUMIFS(country_annual_ha!M$2:M$556,country_annual_ha!$D$2:$D$556,$A31,country_annual_ha!$E$2:$E$556,$B31)</f>
        <v>272084.666666667</v>
      </c>
      <c r="L31" s="7" t="n">
        <f aca="false">SUMIFS(country_annual_ha!N$2:N$556,country_annual_ha!$D$2:$D$556,$A31,country_annual_ha!$E$2:$E$556,$B31)</f>
        <v>213523.333333333</v>
      </c>
      <c r="M31" s="7" t="n">
        <f aca="false">SUMIFS(country_annual_ha!O$2:O$556,country_annual_ha!$D$2:$D$556,$A31,country_annual_ha!$E$2:$E$556,$B31)</f>
        <v>154962.000000003</v>
      </c>
      <c r="N31" s="7" t="n">
        <f aca="false">SUMIFS(country_annual_ha!P$2:P$556,country_annual_ha!$D$2:$D$556,$A31,country_annual_ha!$E$2:$E$556,$B31)</f>
        <v>154962</v>
      </c>
      <c r="O31" s="7" t="n">
        <f aca="false">SUMIFS(country_annual_ha!Q$2:Q$556,country_annual_ha!$D$2:$D$556,$A31,country_annual_ha!$E$2:$E$556,$B31)</f>
        <v>154962</v>
      </c>
      <c r="P31" s="7" t="n">
        <f aca="false">SUMIFS(country_annual_ha!R$2:R$556,country_annual_ha!$D$2:$D$556,$A31,country_annual_ha!$E$2:$E$556,$B31)</f>
        <v>226867.999999998</v>
      </c>
      <c r="Q31" s="7" t="n">
        <f aca="false">SUMIFS(country_annual_ha!S$2:S$556,country_annual_ha!$D$2:$D$556,$A31,country_annual_ha!$E$2:$E$556,$B31)</f>
        <v>333895.658663828</v>
      </c>
      <c r="R31" s="7" t="n">
        <f aca="false">SUMIFS(country_annual_ha!T$2:T$556,country_annual_ha!$D$2:$D$556,$A31,country_annual_ha!$E$2:$E$556,$B31)</f>
        <v>308460.083595124</v>
      </c>
      <c r="S31" s="7" t="n">
        <f aca="false">SUMIFS(country_annual_ha!U$2:U$556,country_annual_ha!$D$2:$D$556,$A31,country_annual_ha!$E$2:$E$556,$B31)</f>
        <v>439102.343450342</v>
      </c>
      <c r="T31" s="7" t="n">
        <f aca="false">SUMIFS(country_annual_ha!V$2:V$556,country_annual_ha!$D$2:$D$556,$A31,country_annual_ha!$E$2:$E$556,$B31)</f>
        <v>381492.450651875</v>
      </c>
      <c r="U31" s="7" t="n">
        <f aca="false">SUMIFS(country_annual_ha!W$2:W$556,country_annual_ha!$D$2:$D$556,$A31,country_annual_ha!$E$2:$E$556,$B31)</f>
        <v>352499.511390068</v>
      </c>
      <c r="V31" s="7" t="n">
        <f aca="false">SUMIFS(country_annual_ha!X$2:X$556,country_annual_ha!$D$2:$D$556,$A31,country_annual_ha!$E$2:$E$556,$B31)</f>
        <v>299195.214706848</v>
      </c>
      <c r="W31" s="7" t="n">
        <f aca="false">SUMIFS(country_annual_ha!Y$2:Y$556,country_annual_ha!$D$2:$D$556,$A31,country_annual_ha!$E$2:$E$556,$B31)</f>
        <v>264523.053545926</v>
      </c>
      <c r="X31" s="7" t="n">
        <f aca="false">SUMIFS(country_annual_ha!Z$2:Z$556,country_annual_ha!$D$2:$D$556,$A31,country_annual_ha!$E$2:$E$556,$B31)</f>
        <v>364796.133903245</v>
      </c>
      <c r="Y31" s="7" t="n">
        <f aca="false">SUMIFS(country_annual_ha!AA$2:AA$556,country_annual_ha!$D$2:$D$556,$A31,country_annual_ha!$E$2:$E$556,$B31)</f>
        <v>427596.761452335</v>
      </c>
      <c r="Z31" s="7" t="n">
        <f aca="false">SUMIFS(country_annual_ha!AB$2:AB$556,country_annual_ha!$D$2:$D$556,$A31,country_annual_ha!$E$2:$E$556,$B31)</f>
        <v>393716.371138609</v>
      </c>
    </row>
    <row r="32" customFormat="false" ht="15" hidden="false" customHeight="false" outlineLevel="0" collapsed="false">
      <c r="A32" s="4" t="s">
        <v>51</v>
      </c>
      <c r="B32" s="4" t="s">
        <v>91</v>
      </c>
      <c r="C32" s="4" t="s">
        <v>52</v>
      </c>
      <c r="D32" s="7" t="n">
        <f aca="false">SUMIFS(country_annual_ha!F$2:F$556,country_annual_ha!$D$2:$D$556,$A32,country_annual_ha!$E$2:$E$556,$B32)</f>
        <v>39378.2042723992</v>
      </c>
      <c r="E32" s="7" t="n">
        <f aca="false">SUMIFS(country_annual_ha!G$2:G$556,country_annual_ha!$D$2:$D$556,$A32,country_annual_ha!$E$2:$E$556,$B32)</f>
        <v>14414.9139213188</v>
      </c>
      <c r="F32" s="7" t="n">
        <f aca="false">SUMIFS(country_annual_ha!H$2:H$556,country_annual_ha!$D$2:$D$556,$A32,country_annual_ha!$E$2:$E$556,$B32)</f>
        <v>10914.2310539947</v>
      </c>
      <c r="G32" s="7" t="n">
        <f aca="false">SUMIFS(country_annual_ha!I$2:I$556,country_annual_ha!$D$2:$D$556,$A32,country_annual_ha!$E$2:$E$556,$B32)</f>
        <v>1972.24619589629</v>
      </c>
      <c r="H32" s="7" t="n">
        <f aca="false">SUMIFS(country_annual_ha!J$2:J$556,country_annual_ha!$D$2:$D$556,$A32,country_annual_ha!$E$2:$E$556,$B32)</f>
        <v>13687.5566642047</v>
      </c>
      <c r="I32" s="7" t="n">
        <f aca="false">SUMIFS(country_annual_ha!K$2:K$556,country_annual_ha!$D$2:$D$556,$A32,country_annual_ha!$E$2:$E$556,$B32)</f>
        <v>49843.3212115036</v>
      </c>
      <c r="J32" s="7" t="n">
        <f aca="false">SUMIFS(country_annual_ha!L$2:L$556,country_annual_ha!$D$2:$D$556,$A32,country_annual_ha!$E$2:$E$556,$B32)</f>
        <v>51428.8141497495</v>
      </c>
      <c r="K32" s="7" t="n">
        <f aca="false">SUMIFS(country_annual_ha!M$2:M$556,country_annual_ha!$D$2:$D$556,$A32,country_annual_ha!$E$2:$E$556,$B32)</f>
        <v>57759.8161026954</v>
      </c>
      <c r="L32" s="7" t="n">
        <f aca="false">SUMIFS(country_annual_ha!N$2:N$556,country_annual_ha!$D$2:$D$556,$A32,country_annual_ha!$E$2:$E$556,$B32)</f>
        <v>5357.47767493542</v>
      </c>
      <c r="M32" s="7" t="n">
        <f aca="false">SUMIFS(country_annual_ha!O$2:O$556,country_annual_ha!$D$2:$D$556,$A32,country_annual_ha!$E$2:$E$556,$B32)</f>
        <v>35723.6184079814</v>
      </c>
      <c r="N32" s="7" t="n">
        <f aca="false">SUMIFS(country_annual_ha!P$2:P$556,country_annual_ha!$D$2:$D$556,$A32,country_annual_ha!$E$2:$E$556,$B32)</f>
        <v>60234.8964301457</v>
      </c>
      <c r="O32" s="7" t="n">
        <f aca="false">SUMIFS(country_annual_ha!Q$2:Q$556,country_annual_ha!$D$2:$D$556,$A32,country_annual_ha!$E$2:$E$556,$B32)</f>
        <v>61981.3298218769</v>
      </c>
      <c r="P32" s="7" t="n">
        <f aca="false">SUMIFS(country_annual_ha!R$2:R$556,country_annual_ha!$D$2:$D$556,$A32,country_annual_ha!$E$2:$E$556,$B32)</f>
        <v>48448.9183466006</v>
      </c>
      <c r="Q32" s="7" t="n">
        <f aca="false">SUMIFS(country_annual_ha!S$2:S$556,country_annual_ha!$D$2:$D$556,$A32,country_annual_ha!$E$2:$E$556,$B32)</f>
        <v>15147.1605614892</v>
      </c>
      <c r="R32" s="7" t="n">
        <f aca="false">SUMIFS(country_annual_ha!T$2:T$556,country_annual_ha!$D$2:$D$556,$A32,country_annual_ha!$E$2:$E$556,$B32)</f>
        <v>17439.2120923519</v>
      </c>
      <c r="S32" s="7" t="n">
        <f aca="false">SUMIFS(country_annual_ha!U$2:U$556,country_annual_ha!$D$2:$D$556,$A32,country_annual_ha!$E$2:$E$556,$B32)</f>
        <v>31192.7574909953</v>
      </c>
      <c r="T32" s="7" t="n">
        <f aca="false">SUMIFS(country_annual_ha!V$2:V$556,country_annual_ha!$D$2:$D$556,$A32,country_annual_ha!$E$2:$E$556,$B32)</f>
        <v>2332.53895583822</v>
      </c>
      <c r="U32" s="7" t="n">
        <f aca="false">SUMIFS(country_annual_ha!W$2:W$556,country_annual_ha!$D$2:$D$556,$A32,country_annual_ha!$E$2:$E$556,$B32)</f>
        <v>46955.5860914198</v>
      </c>
      <c r="V32" s="7" t="n">
        <f aca="false">SUMIFS(country_annual_ha!X$2:X$556,country_annual_ha!$D$2:$D$556,$A32,country_annual_ha!$E$2:$E$556,$B32)</f>
        <v>84098.1273549294</v>
      </c>
      <c r="W32" s="7" t="n">
        <f aca="false">SUMIFS(country_annual_ha!Y$2:Y$556,country_annual_ha!$D$2:$D$556,$A32,country_annual_ha!$E$2:$E$556,$B32)</f>
        <v>122212.61468939</v>
      </c>
      <c r="X32" s="7" t="n">
        <f aca="false">SUMIFS(country_annual_ha!Z$2:Z$556,country_annual_ha!$D$2:$D$556,$A32,country_annual_ha!$E$2:$E$556,$B32)</f>
        <v>116298.774887572</v>
      </c>
      <c r="Y32" s="7" t="n">
        <f aca="false">SUMIFS(country_annual_ha!AA$2:AA$556,country_annual_ha!$D$2:$D$556,$A32,country_annual_ha!$E$2:$E$556,$B32)</f>
        <v>104203.797848895</v>
      </c>
      <c r="Z32" s="7" t="n">
        <f aca="false">SUMIFS(country_annual_ha!AB$2:AB$556,country_annual_ha!$D$2:$D$556,$A32,country_annual_ha!$E$2:$E$556,$B32)</f>
        <v>124735.809864774</v>
      </c>
    </row>
    <row r="33" customFormat="false" ht="15" hidden="false" customHeight="false" outlineLevel="0" collapsed="false">
      <c r="A33" s="4" t="s">
        <v>51</v>
      </c>
      <c r="B33" s="4" t="s">
        <v>92</v>
      </c>
      <c r="C33" s="4" t="s">
        <v>52</v>
      </c>
      <c r="D33" s="7" t="n">
        <f aca="false">SUMIFS(country_annual_ha!F$2:F$556,country_annual_ha!$D$2:$D$556,$A33,country_annual_ha!$E$2:$E$556,$B33)</f>
        <v>8333.48982025697</v>
      </c>
      <c r="E33" s="7" t="n">
        <f aca="false">SUMIFS(country_annual_ha!G$2:G$556,country_annual_ha!$D$2:$D$556,$A33,country_annual_ha!$E$2:$E$556,$B33)</f>
        <v>26843.1961564129</v>
      </c>
      <c r="F33" s="7" t="n">
        <f aca="false">SUMIFS(country_annual_ha!H$2:H$556,country_annual_ha!$D$2:$D$556,$A33,country_annual_ha!$E$2:$E$556,$B33)</f>
        <v>25632.358691247</v>
      </c>
      <c r="G33" s="7" t="n">
        <f aca="false">SUMIFS(country_annual_ha!I$2:I$556,country_annual_ha!$D$2:$D$556,$A33,country_annual_ha!$E$2:$E$556,$B33)</f>
        <v>47527.1413803186</v>
      </c>
      <c r="H33" s="7" t="n">
        <f aca="false">SUMIFS(country_annual_ha!J$2:J$556,country_annual_ha!$D$2:$D$556,$A33,country_annual_ha!$E$2:$E$556,$B33)</f>
        <v>16395.7433469182</v>
      </c>
      <c r="I33" s="7" t="n">
        <f aca="false">SUMIFS(country_annual_ha!K$2:K$556,country_annual_ha!$D$2:$D$556,$A33,country_annual_ha!$E$2:$E$556,$B33)</f>
        <v>736.604116617892</v>
      </c>
      <c r="J33" s="7" t="n">
        <f aca="false">SUMIFS(country_annual_ha!L$2:L$556,country_annual_ha!$D$2:$D$556,$A33,country_annual_ha!$E$2:$E$556,$B33)</f>
        <v>2989.32099461098</v>
      </c>
      <c r="K33" s="7" t="n">
        <f aca="false">SUMIFS(country_annual_ha!M$2:M$556,country_annual_ha!$D$2:$D$556,$A33,country_annual_ha!$E$2:$E$556,$B33)</f>
        <v>6140.6527098275</v>
      </c>
      <c r="L33" s="7" t="n">
        <f aca="false">SUMIFS(country_annual_ha!N$2:N$556,country_annual_ha!$D$2:$D$556,$A33,country_annual_ha!$E$2:$E$556,$B33)</f>
        <v>20765.4165872811</v>
      </c>
      <c r="M33" s="7" t="n">
        <f aca="false">SUMIFS(country_annual_ha!O$2:O$556,country_annual_ha!$D$2:$D$556,$A33,country_annual_ha!$E$2:$E$556,$B33)</f>
        <v>1754.51063897261</v>
      </c>
      <c r="N33" s="7" t="n">
        <f aca="false">SUMIFS(country_annual_ha!P$2:P$556,country_annual_ha!$D$2:$D$556,$A33,country_annual_ha!$E$2:$E$556,$B33)</f>
        <v>8011.4796289582</v>
      </c>
      <c r="O33" s="7" t="n">
        <f aca="false">SUMIFS(country_annual_ha!Q$2:Q$556,country_annual_ha!$D$2:$D$556,$A33,country_annual_ha!$E$2:$E$556,$B33)</f>
        <v>11185.8600220673</v>
      </c>
      <c r="P33" s="7" t="n">
        <f aca="false">SUMIFS(country_annual_ha!R$2:R$556,country_annual_ha!$D$2:$D$556,$A33,country_annual_ha!$E$2:$E$556,$B33)</f>
        <v>20638.4709671501</v>
      </c>
      <c r="Q33" s="7" t="n">
        <f aca="false">SUMIFS(country_annual_ha!S$2:S$556,country_annual_ha!$D$2:$D$556,$A33,country_annual_ha!$E$2:$E$556,$B33)</f>
        <v>84915.3322251152</v>
      </c>
      <c r="R33" s="7" t="n">
        <f aca="false">SUMIFS(country_annual_ha!T$2:T$556,country_annual_ha!$D$2:$D$556,$A33,country_annual_ha!$E$2:$E$556,$B33)</f>
        <v>77496.6702166048</v>
      </c>
      <c r="S33" s="7" t="n">
        <f aca="false">SUMIFS(country_annual_ha!U$2:U$556,country_annual_ha!$D$2:$D$556,$A33,country_annual_ha!$E$2:$E$556,$B33)</f>
        <v>115134.747119783</v>
      </c>
      <c r="T33" s="7" t="n">
        <f aca="false">SUMIFS(country_annual_ha!V$2:V$556,country_annual_ha!$D$2:$D$556,$A33,country_annual_ha!$E$2:$E$556,$B33)</f>
        <v>139941.998711915</v>
      </c>
      <c r="U33" s="7" t="n">
        <f aca="false">SUMIFS(country_annual_ha!W$2:W$556,country_annual_ha!$D$2:$D$556,$A33,country_annual_ha!$E$2:$E$556,$B33)</f>
        <v>74276.5499143428</v>
      </c>
      <c r="V33" s="7" t="n">
        <f aca="false">SUMIFS(country_annual_ha!X$2:X$556,country_annual_ha!$D$2:$D$556,$A33,country_annual_ha!$E$2:$E$556,$B33)</f>
        <v>25258.3273951447</v>
      </c>
      <c r="W33" s="7" t="n">
        <f aca="false">SUMIFS(country_annual_ha!Y$2:Y$556,country_annual_ha!$D$2:$D$556,$A33,country_annual_ha!$E$2:$E$556,$B33)</f>
        <v>0</v>
      </c>
      <c r="X33" s="7" t="n">
        <f aca="false">SUMIFS(country_annual_ha!Z$2:Z$556,country_annual_ha!$D$2:$D$556,$A33,country_annual_ha!$E$2:$E$556,$B33)</f>
        <v>1389.36045918268</v>
      </c>
      <c r="Y33" s="7" t="n">
        <f aca="false">SUMIFS(country_annual_ha!AA$2:AA$556,country_annual_ha!$D$2:$D$556,$A33,country_annual_ha!$E$2:$E$556,$B33)</f>
        <v>3281.76664874782</v>
      </c>
      <c r="Z33" s="7" t="n">
        <f aca="false">SUMIFS(country_annual_ha!AB$2:AB$556,country_annual_ha!$D$2:$D$556,$A33,country_annual_ha!$E$2:$E$556,$B33)</f>
        <v>2099.43040061759</v>
      </c>
    </row>
    <row r="34" customFormat="false" ht="15" hidden="false" customHeight="false" outlineLevel="0" collapsed="false">
      <c r="A34" s="4" t="s">
        <v>51</v>
      </c>
      <c r="B34" s="4" t="s">
        <v>93</v>
      </c>
      <c r="C34" s="4" t="s">
        <v>52</v>
      </c>
      <c r="D34" s="7" t="n">
        <f aca="false">SUMIFS(country_annual_ha!F$2:F$556,country_annual_ha!$D$2:$D$556,$A34,country_annual_ha!$E$2:$E$556,$B34)</f>
        <v>9027.18361714359</v>
      </c>
      <c r="E34" s="7" t="n">
        <f aca="false">SUMIFS(country_annual_ha!G$2:G$556,country_annual_ha!$D$2:$D$556,$A34,country_annual_ha!$E$2:$E$556,$B34)</f>
        <v>7191.95540887502</v>
      </c>
      <c r="F34" s="7" t="n">
        <f aca="false">SUMIFS(country_annual_ha!H$2:H$556,country_annual_ha!$D$2:$D$556,$A34,country_annual_ha!$E$2:$E$556,$B34)</f>
        <v>6416.68653526943</v>
      </c>
      <c r="G34" s="7" t="n">
        <f aca="false">SUMIFS(country_annual_ha!I$2:I$556,country_annual_ha!$D$2:$D$556,$A34,country_annual_ha!$E$2:$E$556,$B34)</f>
        <v>10043.1462014615</v>
      </c>
      <c r="H34" s="7" t="n">
        <f aca="false">SUMIFS(country_annual_ha!J$2:J$556,country_annual_ha!$D$2:$D$556,$A34,country_annual_ha!$E$2:$E$556,$B34)</f>
        <v>8674.1815698514</v>
      </c>
      <c r="I34" s="7" t="n">
        <f aca="false">SUMIFS(country_annual_ha!K$2:K$556,country_annual_ha!$D$2:$D$556,$A34,country_annual_ha!$E$2:$E$556,$B34)</f>
        <v>7997.52172835922</v>
      </c>
      <c r="J34" s="7" t="n">
        <f aca="false">SUMIFS(country_annual_ha!L$2:L$556,country_annual_ha!$D$2:$D$556,$A34,country_annual_ha!$E$2:$E$556,$B34)</f>
        <v>8413.50091507642</v>
      </c>
      <c r="K34" s="7" t="n">
        <f aca="false">SUMIFS(country_annual_ha!M$2:M$556,country_annual_ha!$D$2:$D$556,$A34,country_annual_ha!$E$2:$E$556,$B34)</f>
        <v>9457.8197108023</v>
      </c>
      <c r="L34" s="7" t="n">
        <f aca="false">SUMIFS(country_annual_ha!N$2:N$556,country_annual_ha!$D$2:$D$556,$A34,country_annual_ha!$E$2:$E$556,$B34)</f>
        <v>7944.44233976718</v>
      </c>
      <c r="M34" s="7" t="n">
        <f aca="false">SUMIFS(country_annual_ha!O$2:O$556,country_annual_ha!$D$2:$D$556,$A34,country_annual_ha!$E$2:$E$556,$B34)</f>
        <v>5509.19858510226</v>
      </c>
      <c r="N34" s="7" t="n">
        <f aca="false">SUMIFS(country_annual_ha!P$2:P$556,country_annual_ha!$D$2:$D$556,$A34,country_annual_ha!$E$2:$E$556,$B34)</f>
        <v>8186.84878756848</v>
      </c>
      <c r="O34" s="7" t="n">
        <f aca="false">SUMIFS(country_annual_ha!Q$2:Q$556,country_annual_ha!$D$2:$D$556,$A34,country_annual_ha!$E$2:$E$556,$B34)</f>
        <v>9714.69124806364</v>
      </c>
      <c r="P34" s="7" t="n">
        <f aca="false">SUMIFS(country_annual_ha!R$2:R$556,country_annual_ha!$D$2:$D$556,$A34,country_annual_ha!$E$2:$E$556,$B34)</f>
        <v>9352.15400237794</v>
      </c>
      <c r="Q34" s="7" t="n">
        <f aca="false">SUMIFS(country_annual_ha!S$2:S$556,country_annual_ha!$D$2:$D$556,$A34,country_annual_ha!$E$2:$E$556,$B34)</f>
        <v>13038.642338606</v>
      </c>
      <c r="R34" s="7" t="n">
        <f aca="false">SUMIFS(country_annual_ha!T$2:T$556,country_annual_ha!$D$2:$D$556,$A34,country_annual_ha!$E$2:$E$556,$B34)</f>
        <v>10673.2456773405</v>
      </c>
      <c r="S34" s="7" t="n">
        <f aca="false">SUMIFS(country_annual_ha!U$2:U$556,country_annual_ha!$D$2:$D$556,$A34,country_annual_ha!$E$2:$E$556,$B34)</f>
        <v>14922.8757618537</v>
      </c>
      <c r="T34" s="7" t="n">
        <f aca="false">SUMIFS(country_annual_ha!V$2:V$556,country_annual_ha!$D$2:$D$556,$A34,country_annual_ha!$E$2:$E$556,$B34)</f>
        <v>11144.5413055561</v>
      </c>
      <c r="U34" s="7" t="n">
        <f aca="false">SUMIFS(country_annual_ha!W$2:W$556,country_annual_ha!$D$2:$D$556,$A34,country_annual_ha!$E$2:$E$556,$B34)</f>
        <v>6769.71386198403</v>
      </c>
      <c r="V34" s="7" t="n">
        <f aca="false">SUMIFS(country_annual_ha!X$2:X$556,country_annual_ha!$D$2:$D$556,$A34,country_annual_ha!$E$2:$E$556,$B34)</f>
        <v>6996.16936841755</v>
      </c>
      <c r="W34" s="7" t="n">
        <f aca="false">SUMIFS(country_annual_ha!Y$2:Y$556,country_annual_ha!$D$2:$D$556,$A34,country_annual_ha!$E$2:$E$556,$B34)</f>
        <v>9866.94667046591</v>
      </c>
      <c r="X34" s="7" t="n">
        <f aca="false">SUMIFS(country_annual_ha!Z$2:Z$556,country_annual_ha!$D$2:$D$556,$A34,country_annual_ha!$E$2:$E$556,$B34)</f>
        <v>9089.21755792445</v>
      </c>
      <c r="Y34" s="7" t="n">
        <f aca="false">SUMIFS(country_annual_ha!AA$2:AA$556,country_annual_ha!$D$2:$D$556,$A34,country_annual_ha!$E$2:$E$556,$B34)</f>
        <v>8539.52533737177</v>
      </c>
      <c r="Z34" s="7" t="n">
        <f aca="false">SUMIFS(country_annual_ha!AB$2:AB$556,country_annual_ha!$D$2:$D$556,$A34,country_annual_ha!$E$2:$E$556,$B34)</f>
        <v>8049.76310483571</v>
      </c>
    </row>
    <row r="35" customFormat="false" ht="15" hidden="false" customHeight="false" outlineLevel="0" collapsed="false">
      <c r="A35" s="4" t="s">
        <v>53</v>
      </c>
      <c r="B35" s="4" t="s">
        <v>91</v>
      </c>
      <c r="C35" s="4" t="s">
        <v>54</v>
      </c>
      <c r="D35" s="7" t="n">
        <f aca="false">SUMIFS(country_annual_ha!F$2:F$556,country_annual_ha!$D$2:$D$556,$A35,country_annual_ha!$E$2:$E$556,$B35)</f>
        <v>251755.688473141</v>
      </c>
      <c r="E35" s="7" t="n">
        <f aca="false">SUMIFS(country_annual_ha!G$2:G$556,country_annual_ha!$D$2:$D$556,$A35,country_annual_ha!$E$2:$E$556,$B35)</f>
        <v>367133.092464268</v>
      </c>
      <c r="F35" s="7" t="n">
        <f aca="false">SUMIFS(country_annual_ha!H$2:H$556,country_annual_ha!$D$2:$D$556,$A35,country_annual_ha!$E$2:$E$556,$B35)</f>
        <v>478399.307326659</v>
      </c>
      <c r="G35" s="7" t="n">
        <f aca="false">SUMIFS(country_annual_ha!I$2:I$556,country_annual_ha!$D$2:$D$556,$A35,country_annual_ha!$E$2:$E$556,$B35)</f>
        <v>437240.827230839</v>
      </c>
      <c r="H35" s="7" t="n">
        <f aca="false">SUMIFS(country_annual_ha!J$2:J$556,country_annual_ha!$D$2:$D$556,$A35,country_annual_ha!$E$2:$E$556,$B35)</f>
        <v>210130.775609281</v>
      </c>
      <c r="I35" s="7" t="n">
        <f aca="false">SUMIFS(country_annual_ha!K$2:K$556,country_annual_ha!$D$2:$D$556,$A35,country_annual_ha!$E$2:$E$556,$B35)</f>
        <v>161181.385352388</v>
      </c>
      <c r="J35" s="7" t="n">
        <f aca="false">SUMIFS(country_annual_ha!L$2:L$556,country_annual_ha!$D$2:$D$556,$A35,country_annual_ha!$E$2:$E$556,$B35)</f>
        <v>195021.998013535</v>
      </c>
      <c r="K35" s="7" t="n">
        <f aca="false">SUMIFS(country_annual_ha!M$2:M$556,country_annual_ha!$D$2:$D$556,$A35,country_annual_ha!$E$2:$E$556,$B35)</f>
        <v>210882.182250535</v>
      </c>
      <c r="L35" s="7" t="n">
        <f aca="false">SUMIFS(country_annual_ha!N$2:N$556,country_annual_ha!$D$2:$D$556,$A35,country_annual_ha!$E$2:$E$556,$B35)</f>
        <v>181679.275725163</v>
      </c>
      <c r="M35" s="7" t="n">
        <f aca="false">SUMIFS(country_annual_ha!O$2:O$556,country_annual_ha!$D$2:$D$556,$A35,country_annual_ha!$E$2:$E$556,$B35)</f>
        <v>268711.958231123</v>
      </c>
      <c r="N35" s="7" t="n">
        <f aca="false">SUMIFS(country_annual_ha!P$2:P$556,country_annual_ha!$D$2:$D$556,$A35,country_annual_ha!$E$2:$E$556,$B35)</f>
        <v>225524.565929497</v>
      </c>
      <c r="O35" s="7" t="n">
        <f aca="false">SUMIFS(country_annual_ha!Q$2:Q$556,country_annual_ha!$D$2:$D$556,$A35,country_annual_ha!$E$2:$E$556,$B35)</f>
        <v>374235.669513753</v>
      </c>
      <c r="P35" s="7" t="n">
        <f aca="false">SUMIFS(country_annual_ha!R$2:R$556,country_annual_ha!$D$2:$D$556,$A35,country_annual_ha!$E$2:$E$556,$B35)</f>
        <v>169325.889477814</v>
      </c>
      <c r="Q35" s="7" t="n">
        <f aca="false">SUMIFS(country_annual_ha!S$2:S$556,country_annual_ha!$D$2:$D$556,$A35,country_annual_ha!$E$2:$E$556,$B35)</f>
        <v>222716.920038803</v>
      </c>
      <c r="R35" s="7" t="n">
        <f aca="false">SUMIFS(country_annual_ha!T$2:T$556,country_annual_ha!$D$2:$D$556,$A35,country_annual_ha!$E$2:$E$556,$B35)</f>
        <v>148185.704442431</v>
      </c>
      <c r="S35" s="7" t="n">
        <f aca="false">SUMIFS(country_annual_ha!U$2:U$556,country_annual_ha!$D$2:$D$556,$A35,country_annual_ha!$E$2:$E$556,$B35)</f>
        <v>210505.850188476</v>
      </c>
      <c r="T35" s="7" t="n">
        <f aca="false">SUMIFS(country_annual_ha!V$2:V$556,country_annual_ha!$D$2:$D$556,$A35,country_annual_ha!$E$2:$E$556,$B35)</f>
        <v>182840.374424354</v>
      </c>
      <c r="U35" s="7" t="n">
        <f aca="false">SUMIFS(country_annual_ha!W$2:W$556,country_annual_ha!$D$2:$D$556,$A35,country_annual_ha!$E$2:$E$556,$B35)</f>
        <v>146494.938561496</v>
      </c>
      <c r="V35" s="7" t="n">
        <f aca="false">SUMIFS(country_annual_ha!X$2:X$556,country_annual_ha!$D$2:$D$556,$A35,country_annual_ha!$E$2:$E$556,$B35)</f>
        <v>151003.117479664</v>
      </c>
      <c r="W35" s="7" t="n">
        <f aca="false">SUMIFS(country_annual_ha!Y$2:Y$556,country_annual_ha!$D$2:$D$556,$A35,country_annual_ha!$E$2:$E$556,$B35)</f>
        <v>153333.727221179</v>
      </c>
      <c r="X35" s="7" t="n">
        <f aca="false">SUMIFS(country_annual_ha!Z$2:Z$556,country_annual_ha!$D$2:$D$556,$A35,country_annual_ha!$E$2:$E$556,$B35)</f>
        <v>128888.729755196</v>
      </c>
      <c r="Y35" s="7" t="n">
        <f aca="false">SUMIFS(country_annual_ha!AA$2:AA$556,country_annual_ha!$D$2:$D$556,$A35,country_annual_ha!$E$2:$E$556,$B35)</f>
        <v>186426.538551463</v>
      </c>
      <c r="Z35" s="7" t="n">
        <f aca="false">SUMIFS(country_annual_ha!AB$2:AB$556,country_annual_ha!$D$2:$D$556,$A35,country_annual_ha!$E$2:$E$556,$B35)</f>
        <v>101998.889220153</v>
      </c>
    </row>
    <row r="36" customFormat="false" ht="15" hidden="false" customHeight="false" outlineLevel="0" collapsed="false">
      <c r="A36" s="4" t="s">
        <v>53</v>
      </c>
      <c r="B36" s="4" t="s">
        <v>92</v>
      </c>
      <c r="C36" s="4" t="s">
        <v>54</v>
      </c>
      <c r="D36" s="7" t="n">
        <f aca="false">SUMIFS(country_annual_ha!F$2:F$556,country_annual_ha!$D$2:$D$556,$A36,country_annual_ha!$E$2:$E$556,$B36)</f>
        <v>1354630.24765832</v>
      </c>
      <c r="E36" s="7" t="n">
        <f aca="false">SUMIFS(country_annual_ha!G$2:G$556,country_annual_ha!$D$2:$D$556,$A36,country_annual_ha!$E$2:$E$556,$B36)</f>
        <v>2067870.79582521</v>
      </c>
      <c r="F36" s="7" t="n">
        <f aca="false">SUMIFS(country_annual_ha!H$2:H$556,country_annual_ha!$D$2:$D$556,$A36,country_annual_ha!$E$2:$E$556,$B36)</f>
        <v>1895766.87737694</v>
      </c>
      <c r="G36" s="7" t="n">
        <f aca="false">SUMIFS(country_annual_ha!I$2:I$556,country_annual_ha!$D$2:$D$556,$A36,country_annual_ha!$E$2:$E$556,$B36)</f>
        <v>2395808.36368272</v>
      </c>
      <c r="H36" s="7" t="n">
        <f aca="false">SUMIFS(country_annual_ha!J$2:J$556,country_annual_ha!$D$2:$D$556,$A36,country_annual_ha!$E$2:$E$556,$B36)</f>
        <v>2230239.41850627</v>
      </c>
      <c r="I36" s="7" t="n">
        <f aca="false">SUMIFS(country_annual_ha!K$2:K$556,country_annual_ha!$D$2:$D$556,$A36,country_annual_ha!$E$2:$E$556,$B36)</f>
        <v>1788022.68736946</v>
      </c>
      <c r="J36" s="7" t="n">
        <f aca="false">SUMIFS(country_annual_ha!L$2:L$556,country_annual_ha!$D$2:$D$556,$A36,country_annual_ha!$E$2:$E$556,$B36)</f>
        <v>1473675.39870168</v>
      </c>
      <c r="K36" s="7" t="n">
        <f aca="false">SUMIFS(country_annual_ha!M$2:M$556,country_annual_ha!$D$2:$D$556,$A36,country_annual_ha!$E$2:$E$556,$B36)</f>
        <v>1302302.45377779</v>
      </c>
      <c r="L36" s="7" t="n">
        <f aca="false">SUMIFS(country_annual_ha!N$2:N$556,country_annual_ha!$D$2:$D$556,$A36,country_annual_ha!$E$2:$E$556,$B36)</f>
        <v>901100.215030272</v>
      </c>
      <c r="M36" s="7" t="n">
        <f aca="false">SUMIFS(country_annual_ha!O$2:O$556,country_annual_ha!$D$2:$D$556,$A36,country_annual_ha!$E$2:$E$556,$B36)</f>
        <v>1358282.06755492</v>
      </c>
      <c r="N36" s="7" t="n">
        <f aca="false">SUMIFS(country_annual_ha!P$2:P$556,country_annual_ha!$D$2:$D$556,$A36,country_annual_ha!$E$2:$E$556,$B36)</f>
        <v>899554.396902472</v>
      </c>
      <c r="O36" s="7" t="n">
        <f aca="false">SUMIFS(country_annual_ha!Q$2:Q$556,country_annual_ha!$D$2:$D$556,$A36,country_annual_ha!$E$2:$E$556,$B36)</f>
        <v>1237030.92923332</v>
      </c>
      <c r="P36" s="7" t="n">
        <f aca="false">SUMIFS(country_annual_ha!R$2:R$556,country_annual_ha!$D$2:$D$556,$A36,country_annual_ha!$E$2:$E$556,$B36)</f>
        <v>788766.379825294</v>
      </c>
      <c r="Q36" s="7" t="n">
        <f aca="false">SUMIFS(country_annual_ha!S$2:S$556,country_annual_ha!$D$2:$D$556,$A36,country_annual_ha!$E$2:$E$556,$B36)</f>
        <v>1151169.1967692</v>
      </c>
      <c r="R36" s="7" t="n">
        <f aca="false">SUMIFS(country_annual_ha!T$2:T$556,country_annual_ha!$D$2:$D$556,$A36,country_annual_ha!$E$2:$E$556,$B36)</f>
        <v>1038989.42636778</v>
      </c>
      <c r="S36" s="7" t="n">
        <f aca="false">SUMIFS(country_annual_ha!U$2:U$556,country_annual_ha!$D$2:$D$556,$A36,country_annual_ha!$E$2:$E$556,$B36)</f>
        <v>1722570.08038273</v>
      </c>
      <c r="T36" s="7" t="n">
        <f aca="false">SUMIFS(country_annual_ha!V$2:V$556,country_annual_ha!$D$2:$D$556,$A36,country_annual_ha!$E$2:$E$556,$B36)</f>
        <v>1541157.57631497</v>
      </c>
      <c r="U36" s="7" t="n">
        <f aca="false">SUMIFS(country_annual_ha!W$2:W$556,country_annual_ha!$D$2:$D$556,$A36,country_annual_ha!$E$2:$E$556,$B36)</f>
        <v>1224270.70096958</v>
      </c>
      <c r="V36" s="7" t="n">
        <f aca="false">SUMIFS(country_annual_ha!X$2:X$556,country_annual_ha!$D$2:$D$556,$A36,country_annual_ha!$E$2:$E$556,$B36)</f>
        <v>1346133.21394697</v>
      </c>
      <c r="W36" s="7" t="n">
        <f aca="false">SUMIFS(country_annual_ha!Y$2:Y$556,country_annual_ha!$D$2:$D$556,$A36,country_annual_ha!$E$2:$E$556,$B36)</f>
        <v>1484560.84731194</v>
      </c>
      <c r="X36" s="7" t="n">
        <f aca="false">SUMIFS(country_annual_ha!Z$2:Z$556,country_annual_ha!$D$2:$D$556,$A36,country_annual_ha!$E$2:$E$556,$B36)</f>
        <v>1549581.14650013</v>
      </c>
      <c r="Y36" s="7" t="n">
        <f aca="false">SUMIFS(country_annual_ha!AA$2:AA$556,country_annual_ha!$D$2:$D$556,$A36,country_annual_ha!$E$2:$E$556,$B36)</f>
        <v>1715304.15387325</v>
      </c>
      <c r="Z36" s="7" t="n">
        <f aca="false">SUMIFS(country_annual_ha!AB$2:AB$556,country_annual_ha!$D$2:$D$556,$A36,country_annual_ha!$E$2:$E$556,$B36)</f>
        <v>1145311.8972675</v>
      </c>
    </row>
    <row r="37" customFormat="false" ht="15" hidden="false" customHeight="false" outlineLevel="0" collapsed="false">
      <c r="A37" s="4" t="s">
        <v>53</v>
      </c>
      <c r="B37" s="4" t="s">
        <v>93</v>
      </c>
      <c r="C37" s="4" t="s">
        <v>54</v>
      </c>
      <c r="D37" s="7" t="n">
        <f aca="false">SUMIFS(country_annual_ha!F$2:F$556,country_annual_ha!$D$2:$D$556,$A37,country_annual_ha!$E$2:$E$556,$B37)</f>
        <v>3189.87942176813</v>
      </c>
      <c r="E37" s="7" t="n">
        <f aca="false">SUMIFS(country_annual_ha!G$2:G$556,country_annual_ha!$D$2:$D$556,$A37,country_annual_ha!$E$2:$E$556,$B37)</f>
        <v>5441.95353224252</v>
      </c>
      <c r="F37" s="7" t="n">
        <f aca="false">SUMIFS(country_annual_ha!H$2:H$556,country_annual_ha!$D$2:$D$556,$A37,country_annual_ha!$E$2:$E$556,$B37)</f>
        <v>5286.11595978447</v>
      </c>
      <c r="G37" s="7" t="n">
        <f aca="false">SUMIFS(country_annual_ha!I$2:I$556,country_annual_ha!$D$2:$D$556,$A37,country_annual_ha!$E$2:$E$556,$B37)</f>
        <v>6939.53612116576</v>
      </c>
      <c r="H37" s="7" t="n">
        <f aca="false">SUMIFS(country_annual_ha!J$2:J$556,country_annual_ha!$D$2:$D$556,$A37,country_annual_ha!$E$2:$E$556,$B37)</f>
        <v>8374.50351211292</v>
      </c>
      <c r="I37" s="7" t="n">
        <f aca="false">SUMIFS(country_annual_ha!K$2:K$556,country_annual_ha!$D$2:$D$556,$A37,country_annual_ha!$E$2:$E$556,$B37)</f>
        <v>9801.03633077987</v>
      </c>
      <c r="J37" s="7" t="n">
        <f aca="false">SUMIFS(country_annual_ha!L$2:L$556,country_annual_ha!$D$2:$D$556,$A37,country_annual_ha!$E$2:$E$556,$B37)</f>
        <v>12068.54827878</v>
      </c>
      <c r="K37" s="7" t="n">
        <f aca="false">SUMIFS(country_annual_ha!M$2:M$556,country_annual_ha!$D$2:$D$556,$A37,country_annual_ha!$E$2:$E$556,$B37)</f>
        <v>12307.1473166643</v>
      </c>
      <c r="L37" s="7" t="n">
        <f aca="false">SUMIFS(country_annual_ha!N$2:N$556,country_annual_ha!$D$2:$D$556,$A37,country_annual_ha!$E$2:$E$556,$B37)</f>
        <v>10201.4066953813</v>
      </c>
      <c r="M37" s="7" t="n">
        <f aca="false">SUMIFS(country_annual_ha!O$2:O$556,country_annual_ha!$D$2:$D$556,$A37,country_annual_ha!$E$2:$E$556,$B37)</f>
        <v>15006.6568723453</v>
      </c>
      <c r="N37" s="7" t="n">
        <f aca="false">SUMIFS(country_annual_ha!P$2:P$556,country_annual_ha!$D$2:$D$556,$A37,country_annual_ha!$E$2:$E$556,$B37)</f>
        <v>21263.8188549695</v>
      </c>
      <c r="O37" s="7" t="n">
        <f aca="false">SUMIFS(country_annual_ha!Q$2:Q$556,country_annual_ha!$D$2:$D$556,$A37,country_annual_ha!$E$2:$E$556,$B37)</f>
        <v>39766.0099537088</v>
      </c>
      <c r="P37" s="7" t="n">
        <f aca="false">SUMIFS(country_annual_ha!R$2:R$556,country_annual_ha!$D$2:$D$556,$A37,country_annual_ha!$E$2:$E$556,$B37)</f>
        <v>29274.5593945016</v>
      </c>
      <c r="Q37" s="7" t="n">
        <f aca="false">SUMIFS(country_annual_ha!S$2:S$556,country_annual_ha!$D$2:$D$556,$A37,country_annual_ha!$E$2:$E$556,$B37)</f>
        <v>38486.9020465863</v>
      </c>
      <c r="R37" s="7" t="n">
        <f aca="false">SUMIFS(country_annual_ha!T$2:T$556,country_annual_ha!$D$2:$D$556,$A37,country_annual_ha!$E$2:$E$556,$B37)</f>
        <v>30616.8583562615</v>
      </c>
      <c r="S37" s="7" t="n">
        <f aca="false">SUMIFS(country_annual_ha!U$2:U$556,country_annual_ha!$D$2:$D$556,$A37,country_annual_ha!$E$2:$E$556,$B37)</f>
        <v>47959.6713892542</v>
      </c>
      <c r="T37" s="7" t="n">
        <f aca="false">SUMIFS(country_annual_ha!V$2:V$556,country_annual_ha!$D$2:$D$556,$A37,country_annual_ha!$E$2:$E$556,$B37)</f>
        <v>54570.7087397416</v>
      </c>
      <c r="U37" s="7" t="n">
        <f aca="false">SUMIFS(country_annual_ha!W$2:W$556,country_annual_ha!$D$2:$D$556,$A37,country_annual_ha!$E$2:$E$556,$B37)</f>
        <v>47446.2156112269</v>
      </c>
      <c r="V37" s="7" t="n">
        <f aca="false">SUMIFS(country_annual_ha!X$2:X$556,country_annual_ha!$D$2:$D$556,$A37,country_annual_ha!$E$2:$E$556,$B37)</f>
        <v>46362.0746979112</v>
      </c>
      <c r="W37" s="7" t="n">
        <f aca="false">SUMIFS(country_annual_ha!Y$2:Y$556,country_annual_ha!$D$2:$D$556,$A37,country_annual_ha!$E$2:$E$556,$B37)</f>
        <v>43433.8071899611</v>
      </c>
      <c r="X37" s="7" t="n">
        <f aca="false">SUMIFS(country_annual_ha!Z$2:Z$556,country_annual_ha!$D$2:$D$556,$A37,country_annual_ha!$E$2:$E$556,$B37)</f>
        <v>46630.7818734829</v>
      </c>
      <c r="Y37" s="7" t="n">
        <f aca="false">SUMIFS(country_annual_ha!AA$2:AA$556,country_annual_ha!$D$2:$D$556,$A37,country_annual_ha!$E$2:$E$556,$B37)</f>
        <v>45220.5240739256</v>
      </c>
      <c r="Z37" s="7" t="n">
        <f aca="false">SUMIFS(country_annual_ha!AB$2:AB$556,country_annual_ha!$D$2:$D$556,$A37,country_annual_ha!$E$2:$E$556,$B37)</f>
        <v>43658.7533392045</v>
      </c>
    </row>
    <row r="38" customFormat="false" ht="15" hidden="false" customHeight="false" outlineLevel="0" collapsed="false">
      <c r="A38" s="4" t="s">
        <v>55</v>
      </c>
      <c r="B38" s="4" t="s">
        <v>91</v>
      </c>
      <c r="C38" s="4" t="s">
        <v>56</v>
      </c>
      <c r="D38" s="7" t="n">
        <f aca="false">SUMIFS(country_annual_ha!F$2:F$556,country_annual_ha!$D$2:$D$556,$A38,country_annual_ha!$E$2:$E$556,$B38)</f>
        <v>391.557789133983</v>
      </c>
      <c r="E38" s="7" t="n">
        <f aca="false">SUMIFS(country_annual_ha!G$2:G$556,country_annual_ha!$D$2:$D$556,$A38,country_annual_ha!$E$2:$E$556,$B38)</f>
        <v>465.048775278409</v>
      </c>
      <c r="F38" s="7" t="n">
        <f aca="false">SUMIFS(country_annual_ha!H$2:H$556,country_annual_ha!$D$2:$D$556,$A38,country_annual_ha!$E$2:$E$556,$B38)</f>
        <v>275.170262544425</v>
      </c>
      <c r="G38" s="7" t="n">
        <f aca="false">SUMIFS(country_annual_ha!I$2:I$556,country_annual_ha!$D$2:$D$556,$A38,country_annual_ha!$E$2:$E$556,$B38)</f>
        <v>428.231798385457</v>
      </c>
      <c r="H38" s="7" t="n">
        <f aca="false">SUMIFS(country_annual_ha!J$2:J$556,country_annual_ha!$D$2:$D$556,$A38,country_annual_ha!$E$2:$E$556,$B38)</f>
        <v>288.644712624172</v>
      </c>
      <c r="I38" s="7" t="n">
        <f aca="false">SUMIFS(country_annual_ha!K$2:K$556,country_annual_ha!$D$2:$D$556,$A38,country_annual_ha!$E$2:$E$556,$B38)</f>
        <v>324.987840731138</v>
      </c>
      <c r="J38" s="7" t="n">
        <f aca="false">SUMIFS(country_annual_ha!L$2:L$556,country_annual_ha!$D$2:$D$556,$A38,country_annual_ha!$E$2:$E$556,$B38)</f>
        <v>334.762866082076</v>
      </c>
      <c r="K38" s="7" t="n">
        <f aca="false">SUMIFS(country_annual_ha!M$2:M$556,country_annual_ha!$D$2:$D$556,$A38,country_annual_ha!$E$2:$E$556,$B38)</f>
        <v>501.05301298372</v>
      </c>
      <c r="L38" s="7" t="n">
        <f aca="false">SUMIFS(country_annual_ha!N$2:N$556,country_annual_ha!$D$2:$D$556,$A38,country_annual_ha!$E$2:$E$556,$B38)</f>
        <v>441.367735350758</v>
      </c>
      <c r="M38" s="7" t="n">
        <f aca="false">SUMIFS(country_annual_ha!O$2:O$556,country_annual_ha!$D$2:$D$556,$A38,country_annual_ha!$E$2:$E$556,$B38)</f>
        <v>374.762429031638</v>
      </c>
      <c r="N38" s="7" t="n">
        <f aca="false">SUMIFS(country_annual_ha!P$2:P$556,country_annual_ha!$D$2:$D$556,$A38,country_annual_ha!$E$2:$E$556,$B38)</f>
        <v>641.409340255881</v>
      </c>
      <c r="O38" s="7" t="n">
        <f aca="false">SUMIFS(country_annual_ha!Q$2:Q$556,country_annual_ha!$D$2:$D$556,$A38,country_annual_ha!$E$2:$E$556,$B38)</f>
        <v>822.3453652764</v>
      </c>
      <c r="P38" s="7" t="n">
        <f aca="false">SUMIFS(country_annual_ha!R$2:R$556,country_annual_ha!$D$2:$D$556,$A38,country_annual_ha!$E$2:$E$556,$B38)</f>
        <v>468.409433747612</v>
      </c>
      <c r="Q38" s="7" t="n">
        <f aca="false">SUMIFS(country_annual_ha!S$2:S$556,country_annual_ha!$D$2:$D$556,$A38,country_annual_ha!$E$2:$E$556,$B38)</f>
        <v>647.769889821648</v>
      </c>
      <c r="R38" s="7" t="n">
        <f aca="false">SUMIFS(country_annual_ha!T$2:T$556,country_annual_ha!$D$2:$D$556,$A38,country_annual_ha!$E$2:$E$556,$B38)</f>
        <v>542.734942407894</v>
      </c>
      <c r="S38" s="7" t="n">
        <f aca="false">SUMIFS(country_annual_ha!U$2:U$556,country_annual_ha!$D$2:$D$556,$A38,country_annual_ha!$E$2:$E$556,$B38)</f>
        <v>684.003374573319</v>
      </c>
      <c r="T38" s="7" t="n">
        <f aca="false">SUMIFS(country_annual_ha!V$2:V$556,country_annual_ha!$D$2:$D$556,$A38,country_annual_ha!$E$2:$E$556,$B38)</f>
        <v>804.965128666624</v>
      </c>
      <c r="U38" s="7" t="n">
        <f aca="false">SUMIFS(country_annual_ha!W$2:W$556,country_annual_ha!$D$2:$D$556,$A38,country_annual_ha!$E$2:$E$556,$B38)</f>
        <v>332.017687683269</v>
      </c>
      <c r="V38" s="7" t="n">
        <f aca="false">SUMIFS(country_annual_ha!X$2:X$556,country_annual_ha!$D$2:$D$556,$A38,country_annual_ha!$E$2:$E$556,$B38)</f>
        <v>183.313148470609</v>
      </c>
      <c r="W38" s="7" t="n">
        <f aca="false">SUMIFS(country_annual_ha!Y$2:Y$556,country_annual_ha!$D$2:$D$556,$A38,country_annual_ha!$E$2:$E$556,$B38)</f>
        <v>19.372444245048</v>
      </c>
      <c r="X38" s="7" t="n">
        <f aca="false">SUMIFS(country_annual_ha!Z$2:Z$556,country_annual_ha!$D$2:$D$556,$A38,country_annual_ha!$E$2:$E$556,$B38)</f>
        <v>24.4078131175108</v>
      </c>
      <c r="Y38" s="7" t="n">
        <f aca="false">SUMIFS(country_annual_ha!AA$2:AA$556,country_annual_ha!$D$2:$D$556,$A38,country_annual_ha!$E$2:$E$556,$B38)</f>
        <v>21.6114112278997</v>
      </c>
      <c r="Z38" s="7" t="n">
        <f aca="false">SUMIFS(country_annual_ha!AB$2:AB$556,country_annual_ha!$D$2:$D$556,$A38,country_annual_ha!$E$2:$E$556,$B38)</f>
        <v>29.9775831555732</v>
      </c>
    </row>
    <row r="39" customFormat="false" ht="15" hidden="false" customHeight="false" outlineLevel="0" collapsed="false">
      <c r="A39" s="4" t="s">
        <v>55</v>
      </c>
      <c r="B39" s="4" t="s">
        <v>92</v>
      </c>
      <c r="C39" s="4" t="s">
        <v>56</v>
      </c>
      <c r="D39" s="7" t="n">
        <f aca="false">SUMIFS(country_annual_ha!F$2:F$556,country_annual_ha!$D$2:$D$556,$A39,country_annual_ha!$E$2:$E$556,$B39)</f>
        <v>116.164359539537</v>
      </c>
      <c r="E39" s="7" t="n">
        <f aca="false">SUMIFS(country_annual_ha!G$2:G$556,country_annual_ha!$D$2:$D$556,$A39,country_annual_ha!$E$2:$E$556,$B39)</f>
        <v>93.4587634381275</v>
      </c>
      <c r="F39" s="7" t="n">
        <f aca="false">SUMIFS(country_annual_ha!H$2:H$556,country_annual_ha!$D$2:$D$556,$A39,country_annual_ha!$E$2:$E$556,$B39)</f>
        <v>126.758587207757</v>
      </c>
      <c r="G39" s="7" t="n">
        <f aca="false">SUMIFS(country_annual_ha!I$2:I$556,country_annual_ha!$D$2:$D$556,$A39,country_annual_ha!$E$2:$E$556,$B39)</f>
        <v>84.4067142778788</v>
      </c>
      <c r="H39" s="7" t="n">
        <f aca="false">SUMIFS(country_annual_ha!J$2:J$556,country_annual_ha!$D$2:$D$556,$A39,country_annual_ha!$E$2:$E$556,$B39)</f>
        <v>65.6134450148066</v>
      </c>
      <c r="I39" s="7" t="n">
        <f aca="false">SUMIFS(country_annual_ha!K$2:K$556,country_annual_ha!$D$2:$D$556,$A39,country_annual_ha!$E$2:$E$556,$B39)</f>
        <v>58.72746419891</v>
      </c>
      <c r="J39" s="7" t="n">
        <f aca="false">SUMIFS(country_annual_ha!L$2:L$556,country_annual_ha!$D$2:$D$556,$A39,country_annual_ha!$E$2:$E$556,$B39)</f>
        <v>62.99330215948</v>
      </c>
      <c r="K39" s="7" t="n">
        <f aca="false">SUMIFS(country_annual_ha!M$2:M$556,country_annual_ha!$D$2:$D$556,$A39,country_annual_ha!$E$2:$E$556,$B39)</f>
        <v>77.0490422626732</v>
      </c>
      <c r="L39" s="7" t="n">
        <f aca="false">SUMIFS(country_annual_ha!N$2:N$556,country_annual_ha!$D$2:$D$556,$A39,country_annual_ha!$E$2:$E$556,$B39)</f>
        <v>61.7889439821963</v>
      </c>
      <c r="M39" s="7" t="n">
        <f aca="false">SUMIFS(country_annual_ha!O$2:O$556,country_annual_ha!$D$2:$D$556,$A39,country_annual_ha!$E$2:$E$556,$B39)</f>
        <v>34.4746171877657</v>
      </c>
      <c r="N39" s="7" t="n">
        <f aca="false">SUMIFS(country_annual_ha!P$2:P$556,country_annual_ha!$D$2:$D$556,$A39,country_annual_ha!$E$2:$E$556,$B39)</f>
        <v>97.288406122323</v>
      </c>
      <c r="O39" s="7" t="n">
        <f aca="false">SUMIFS(country_annual_ha!Q$2:Q$556,country_annual_ha!$D$2:$D$556,$A39,country_annual_ha!$E$2:$E$556,$B39)</f>
        <v>52.2812176535454</v>
      </c>
      <c r="P39" s="7" t="n">
        <f aca="false">SUMIFS(country_annual_ha!R$2:R$556,country_annual_ha!$D$2:$D$556,$A39,country_annual_ha!$E$2:$E$556,$B39)</f>
        <v>1.10339377873558</v>
      </c>
      <c r="Q39" s="7" t="n">
        <f aca="false">SUMIFS(country_annual_ha!S$2:S$556,country_annual_ha!$D$2:$D$556,$A39,country_annual_ha!$E$2:$E$556,$B39)</f>
        <v>0.659693635268824</v>
      </c>
      <c r="R39" s="7" t="n">
        <f aca="false">SUMIFS(country_annual_ha!T$2:T$556,country_annual_ha!$D$2:$D$556,$A39,country_annual_ha!$E$2:$E$556,$B39)</f>
        <v>1.26573386616784</v>
      </c>
      <c r="S39" s="7" t="n">
        <f aca="false">SUMIFS(country_annual_ha!U$2:U$556,country_annual_ha!$D$2:$D$556,$A39,country_annual_ha!$E$2:$E$556,$B39)</f>
        <v>12.4840271892102</v>
      </c>
      <c r="T39" s="7" t="n">
        <f aca="false">SUMIFS(country_annual_ha!V$2:V$556,country_annual_ha!$D$2:$D$556,$A39,country_annual_ha!$E$2:$E$556,$B39)</f>
        <v>23.5076140097833</v>
      </c>
      <c r="U39" s="7" t="n">
        <f aca="false">SUMIFS(country_annual_ha!W$2:W$556,country_annual_ha!$D$2:$D$556,$A39,country_annual_ha!$E$2:$E$556,$B39)</f>
        <v>21.3603748252869</v>
      </c>
      <c r="V39" s="7" t="n">
        <f aca="false">SUMIFS(country_annual_ha!X$2:X$556,country_annual_ha!$D$2:$D$556,$A39,country_annual_ha!$E$2:$E$556,$B39)</f>
        <v>16.1249613319785</v>
      </c>
      <c r="W39" s="7" t="n">
        <f aca="false">SUMIFS(country_annual_ha!Y$2:Y$556,country_annual_ha!$D$2:$D$556,$A39,country_annual_ha!$E$2:$E$556,$B39)</f>
        <v>14.5218490508334</v>
      </c>
      <c r="X39" s="7" t="n">
        <f aca="false">SUMIFS(country_annual_ha!Z$2:Z$556,country_annual_ha!$D$2:$D$556,$A39,country_annual_ha!$E$2:$E$556,$B39)</f>
        <v>9.7673768642842</v>
      </c>
      <c r="Y39" s="7" t="n">
        <f aca="false">SUMIFS(country_annual_ha!AA$2:AA$556,country_annual_ha!$D$2:$D$556,$A39,country_annual_ha!$E$2:$E$556,$B39)</f>
        <v>5.42774385175478</v>
      </c>
      <c r="Z39" s="7" t="n">
        <f aca="false">SUMIFS(country_annual_ha!AB$2:AB$556,country_annual_ha!$D$2:$D$556,$A39,country_annual_ha!$E$2:$E$556,$B39)</f>
        <v>7.79163790622981</v>
      </c>
    </row>
    <row r="40" customFormat="false" ht="15" hidden="false" customHeight="false" outlineLevel="0" collapsed="false">
      <c r="A40" s="4" t="s">
        <v>55</v>
      </c>
      <c r="B40" s="4" t="s">
        <v>93</v>
      </c>
      <c r="C40" s="4" t="s">
        <v>56</v>
      </c>
      <c r="D40" s="7" t="n">
        <f aca="false">SUMIFS(country_annual_ha!F$2:F$556,country_annual_ha!$D$2:$D$556,$A40,country_annual_ha!$E$2:$E$556,$B40)</f>
        <v>27.3801608712293</v>
      </c>
      <c r="E40" s="7" t="n">
        <f aca="false">SUMIFS(country_annual_ha!G$2:G$556,country_annual_ha!$D$2:$D$556,$A40,country_annual_ha!$E$2:$E$556,$B40)</f>
        <v>21.2991311038765</v>
      </c>
      <c r="F40" s="7" t="n">
        <f aca="false">SUMIFS(country_annual_ha!H$2:H$556,country_annual_ha!$D$2:$D$556,$A40,country_annual_ha!$E$2:$E$556,$B40)</f>
        <v>22.9548052054042</v>
      </c>
      <c r="G40" s="7" t="n">
        <f aca="false">SUMIFS(country_annual_ha!I$2:I$556,country_annual_ha!$D$2:$D$556,$A40,country_annual_ha!$E$2:$E$556,$B40)</f>
        <v>13.9698609673226</v>
      </c>
      <c r="H40" s="7" t="n">
        <f aca="false">SUMIFS(country_annual_ha!J$2:J$556,country_annual_ha!$D$2:$D$556,$A40,country_annual_ha!$E$2:$E$556,$B40)</f>
        <v>14.2309105144015</v>
      </c>
      <c r="I40" s="7" t="n">
        <f aca="false">SUMIFS(country_annual_ha!K$2:K$556,country_annual_ha!$D$2:$D$556,$A40,country_annual_ha!$E$2:$E$556,$B40)</f>
        <v>21.8619075832358</v>
      </c>
      <c r="J40" s="7" t="n">
        <f aca="false">SUMIFS(country_annual_ha!L$2:L$556,country_annual_ha!$D$2:$D$556,$A40,country_annual_ha!$E$2:$E$556,$B40)</f>
        <v>12.5267108562726</v>
      </c>
      <c r="K40" s="7" t="n">
        <f aca="false">SUMIFS(country_annual_ha!M$2:M$556,country_annual_ha!$D$2:$D$556,$A40,country_annual_ha!$E$2:$E$556,$B40)</f>
        <v>12.0523383638238</v>
      </c>
      <c r="L40" s="7" t="n">
        <f aca="false">SUMIFS(country_annual_ha!N$2:N$556,country_annual_ha!$D$2:$D$556,$A40,country_annual_ha!$E$2:$E$556,$B40)</f>
        <v>6.57379117536062</v>
      </c>
      <c r="M40" s="7" t="n">
        <f aca="false">SUMIFS(country_annual_ha!O$2:O$556,country_annual_ha!$D$2:$D$556,$A40,country_annual_ha!$E$2:$E$556,$B40)</f>
        <v>9.1473592946562</v>
      </c>
      <c r="N40" s="7" t="n">
        <f aca="false">SUMIFS(country_annual_ha!P$2:P$556,country_annual_ha!$D$2:$D$556,$A40,country_annual_ha!$E$2:$E$556,$B40)</f>
        <v>36.4363434893615</v>
      </c>
      <c r="O40" s="7" t="n">
        <f aca="false">SUMIFS(country_annual_ha!Q$2:Q$556,country_annual_ha!$D$2:$D$556,$A40,country_annual_ha!$E$2:$E$556,$B40)</f>
        <v>14.1781238872265</v>
      </c>
      <c r="P40" s="7" t="n">
        <f aca="false">SUMIFS(country_annual_ha!R$2:R$556,country_annual_ha!$D$2:$D$556,$A40,country_annual_ha!$E$2:$E$556,$B40)</f>
        <v>7.05134210902099</v>
      </c>
      <c r="Q40" s="7" t="n">
        <f aca="false">SUMIFS(country_annual_ha!S$2:S$556,country_annual_ha!$D$2:$D$556,$A40,country_annual_ha!$E$2:$E$556,$B40)</f>
        <v>1.80949699033957</v>
      </c>
      <c r="R40" s="7" t="n">
        <f aca="false">SUMIFS(country_annual_ha!T$2:T$556,country_annual_ha!$D$2:$D$556,$A40,country_annual_ha!$E$2:$E$556,$B40)</f>
        <v>1.05461826233401</v>
      </c>
      <c r="S40" s="7" t="n">
        <f aca="false">SUMIFS(country_annual_ha!U$2:U$556,country_annual_ha!$D$2:$D$556,$A40,country_annual_ha!$E$2:$E$556,$B40)</f>
        <v>3.55608560434255</v>
      </c>
      <c r="T40" s="7" t="n">
        <f aca="false">SUMIFS(country_annual_ha!V$2:V$556,country_annual_ha!$D$2:$D$556,$A40,country_annual_ha!$E$2:$E$556,$B40)</f>
        <v>3.09304232443053</v>
      </c>
      <c r="U40" s="7" t="n">
        <f aca="false">SUMIFS(country_annual_ha!W$2:W$556,country_annual_ha!$D$2:$D$556,$A40,country_annual_ha!$E$2:$E$556,$B40)</f>
        <v>3.7496891847985</v>
      </c>
      <c r="V40" s="7" t="n">
        <f aca="false">SUMIFS(country_annual_ha!X$2:X$556,country_annual_ha!$D$2:$D$556,$A40,country_annual_ha!$E$2:$E$556,$B40)</f>
        <v>3.2821167817179</v>
      </c>
      <c r="W40" s="7" t="n">
        <f aca="false">SUMIFS(country_annual_ha!Y$2:Y$556,country_annual_ha!$D$2:$D$556,$A40,country_annual_ha!$E$2:$E$556,$B40)</f>
        <v>2.21366605707411</v>
      </c>
      <c r="X40" s="7" t="n">
        <f aca="false">SUMIFS(country_annual_ha!Z$2:Z$556,country_annual_ha!$D$2:$D$556,$A40,country_annual_ha!$E$2:$E$556,$B40)</f>
        <v>1.35700598406838</v>
      </c>
      <c r="Y40" s="7" t="n">
        <f aca="false">SUMIFS(country_annual_ha!AA$2:AA$556,country_annual_ha!$D$2:$D$556,$A40,country_annual_ha!$E$2:$E$556,$B40)</f>
        <v>0.83548770599008</v>
      </c>
      <c r="Z40" s="7" t="n">
        <f aca="false">SUMIFS(country_annual_ha!AB$2:AB$556,country_annual_ha!$D$2:$D$556,$A40,country_annual_ha!$E$2:$E$556,$B40)</f>
        <v>0.335679096888445</v>
      </c>
    </row>
    <row r="41" customFormat="false" ht="15" hidden="false" customHeight="false" outlineLevel="0" collapsed="false">
      <c r="A41" s="4" t="s">
        <v>57</v>
      </c>
      <c r="B41" s="4" t="s">
        <v>91</v>
      </c>
      <c r="C41" s="4" t="s">
        <v>58</v>
      </c>
      <c r="D41" s="7" t="n">
        <f aca="false">SUMIFS(country_annual_ha!F$2:F$556,country_annual_ha!$D$2:$D$556,$A41,country_annual_ha!$E$2:$E$556,$B41)</f>
        <v>7450.08068824167</v>
      </c>
      <c r="E41" s="7" t="n">
        <f aca="false">SUMIFS(country_annual_ha!G$2:G$556,country_annual_ha!$D$2:$D$556,$A41,country_annual_ha!$E$2:$E$556,$B41)</f>
        <v>7616.23801663343</v>
      </c>
      <c r="F41" s="7" t="n">
        <f aca="false">SUMIFS(country_annual_ha!H$2:H$556,country_annual_ha!$D$2:$D$556,$A41,country_annual_ha!$E$2:$E$556,$B41)</f>
        <v>4618.54261937965</v>
      </c>
      <c r="G41" s="7" t="n">
        <f aca="false">SUMIFS(country_annual_ha!I$2:I$556,country_annual_ha!$D$2:$D$556,$A41,country_annual_ha!$E$2:$E$556,$B41)</f>
        <v>5280.61873233193</v>
      </c>
      <c r="H41" s="7" t="n">
        <f aca="false">SUMIFS(country_annual_ha!J$2:J$556,country_annual_ha!$D$2:$D$556,$A41,country_annual_ha!$E$2:$E$556,$B41)</f>
        <v>7668.97894369389</v>
      </c>
      <c r="I41" s="7" t="n">
        <f aca="false">SUMIFS(country_annual_ha!K$2:K$556,country_annual_ha!$D$2:$D$556,$A41,country_annual_ha!$E$2:$E$556,$B41)</f>
        <v>19963.9902832849</v>
      </c>
      <c r="J41" s="7" t="n">
        <f aca="false">SUMIFS(country_annual_ha!L$2:L$556,country_annual_ha!$D$2:$D$556,$A41,country_annual_ha!$E$2:$E$556,$B41)</f>
        <v>30932.6742691088</v>
      </c>
      <c r="K41" s="7" t="n">
        <f aca="false">SUMIFS(country_annual_ha!M$2:M$556,country_annual_ha!$D$2:$D$556,$A41,country_annual_ha!$E$2:$E$556,$B41)</f>
        <v>35755.9655529943</v>
      </c>
      <c r="L41" s="7" t="n">
        <f aca="false">SUMIFS(country_annual_ha!N$2:N$556,country_annual_ha!$D$2:$D$556,$A41,country_annual_ha!$E$2:$E$556,$B41)</f>
        <v>37401.4393255397</v>
      </c>
      <c r="M41" s="7" t="n">
        <f aca="false">SUMIFS(country_annual_ha!O$2:O$556,country_annual_ha!$D$2:$D$556,$A41,country_annual_ha!$E$2:$E$556,$B41)</f>
        <v>15041.2921232766</v>
      </c>
      <c r="N41" s="7" t="n">
        <f aca="false">SUMIFS(country_annual_ha!P$2:P$556,country_annual_ha!$D$2:$D$556,$A41,country_annual_ha!$E$2:$E$556,$B41)</f>
        <v>9803.84472439199</v>
      </c>
      <c r="O41" s="7" t="n">
        <f aca="false">SUMIFS(country_annual_ha!Q$2:Q$556,country_annual_ha!$D$2:$D$556,$A41,country_annual_ha!$E$2:$E$556,$B41)</f>
        <v>11457.3301135384</v>
      </c>
      <c r="P41" s="7" t="n">
        <f aca="false">SUMIFS(country_annual_ha!R$2:R$556,country_annual_ha!$D$2:$D$556,$A41,country_annual_ha!$E$2:$E$556,$B41)</f>
        <v>46349.0261814069</v>
      </c>
      <c r="Q41" s="7" t="n">
        <f aca="false">SUMIFS(country_annual_ha!S$2:S$556,country_annual_ha!$D$2:$D$556,$A41,country_annual_ha!$E$2:$E$556,$B41)</f>
        <v>53173.1782111566</v>
      </c>
      <c r="R41" s="7" t="n">
        <f aca="false">SUMIFS(country_annual_ha!T$2:T$556,country_annual_ha!$D$2:$D$556,$A41,country_annual_ha!$E$2:$E$556,$B41)</f>
        <v>51165.1977571099</v>
      </c>
      <c r="S41" s="7" t="n">
        <f aca="false">SUMIFS(country_annual_ha!U$2:U$556,country_annual_ha!$D$2:$D$556,$A41,country_annual_ha!$E$2:$E$556,$B41)</f>
        <v>47647.7004772784</v>
      </c>
      <c r="T41" s="7" t="n">
        <f aca="false">SUMIFS(country_annual_ha!V$2:V$556,country_annual_ha!$D$2:$D$556,$A41,country_annual_ha!$E$2:$E$556,$B41)</f>
        <v>35291.7426331108</v>
      </c>
      <c r="U41" s="7" t="n">
        <f aca="false">SUMIFS(country_annual_ha!W$2:W$556,country_annual_ha!$D$2:$D$556,$A41,country_annual_ha!$E$2:$E$556,$B41)</f>
        <v>34572.6402811313</v>
      </c>
      <c r="V41" s="7" t="n">
        <f aca="false">SUMIFS(country_annual_ha!X$2:X$556,country_annual_ha!$D$2:$D$556,$A41,country_annual_ha!$E$2:$E$556,$B41)</f>
        <v>39834.5637711221</v>
      </c>
      <c r="W41" s="7" t="n">
        <f aca="false">SUMIFS(country_annual_ha!Y$2:Y$556,country_annual_ha!$D$2:$D$556,$A41,country_annual_ha!$E$2:$E$556,$B41)</f>
        <v>38424.7589700715</v>
      </c>
      <c r="X41" s="7" t="n">
        <f aca="false">SUMIFS(country_annual_ha!Z$2:Z$556,country_annual_ha!$D$2:$D$556,$A41,country_annual_ha!$E$2:$E$556,$B41)</f>
        <v>40030.105290293</v>
      </c>
      <c r="Y41" s="7" t="n">
        <f aca="false">SUMIFS(country_annual_ha!AA$2:AA$556,country_annual_ha!$D$2:$D$556,$A41,country_annual_ha!$E$2:$E$556,$B41)</f>
        <v>29744.7082923271</v>
      </c>
      <c r="Z41" s="7" t="n">
        <f aca="false">SUMIFS(country_annual_ha!AB$2:AB$556,country_annual_ha!$D$2:$D$556,$A41,country_annual_ha!$E$2:$E$556,$B41)</f>
        <v>36527.2250938384</v>
      </c>
    </row>
    <row r="42" customFormat="false" ht="15" hidden="false" customHeight="false" outlineLevel="0" collapsed="false">
      <c r="A42" s="4" t="s">
        <v>57</v>
      </c>
      <c r="B42" s="4" t="s">
        <v>92</v>
      </c>
      <c r="C42" s="4" t="s">
        <v>58</v>
      </c>
      <c r="D42" s="7" t="n">
        <f aca="false">SUMIFS(country_annual_ha!F$2:F$556,country_annual_ha!$D$2:$D$556,$A42,country_annual_ha!$E$2:$E$556,$B42)</f>
        <v>25006.0672830649</v>
      </c>
      <c r="E42" s="7" t="n">
        <f aca="false">SUMIFS(country_annual_ha!G$2:G$556,country_annual_ha!$D$2:$D$556,$A42,country_annual_ha!$E$2:$E$556,$B42)</f>
        <v>32041.6912098458</v>
      </c>
      <c r="F42" s="7" t="n">
        <f aca="false">SUMIFS(country_annual_ha!H$2:H$556,country_annual_ha!$D$2:$D$556,$A42,country_annual_ha!$E$2:$E$556,$B42)</f>
        <v>20172.5841625007</v>
      </c>
      <c r="G42" s="7" t="n">
        <f aca="false">SUMIFS(country_annual_ha!I$2:I$556,country_annual_ha!$D$2:$D$556,$A42,country_annual_ha!$E$2:$E$556,$B42)</f>
        <v>6321.32832045548</v>
      </c>
      <c r="H42" s="7" t="n">
        <f aca="false">SUMIFS(country_annual_ha!J$2:J$556,country_annual_ha!$D$2:$D$556,$A42,country_annual_ha!$E$2:$E$556,$B42)</f>
        <v>8878.92070184945</v>
      </c>
      <c r="I42" s="7" t="n">
        <f aca="false">SUMIFS(country_annual_ha!K$2:K$556,country_annual_ha!$D$2:$D$556,$A42,country_annual_ha!$E$2:$E$556,$B42)</f>
        <v>19944.4524261807</v>
      </c>
      <c r="J42" s="7" t="n">
        <f aca="false">SUMIFS(country_annual_ha!L$2:L$556,country_annual_ha!$D$2:$D$556,$A42,country_annual_ha!$E$2:$E$556,$B42)</f>
        <v>16793.207075805</v>
      </c>
      <c r="K42" s="7" t="n">
        <f aca="false">SUMIFS(country_annual_ha!M$2:M$556,country_annual_ha!$D$2:$D$556,$A42,country_annual_ha!$E$2:$E$556,$B42)</f>
        <v>5238.73553020812</v>
      </c>
      <c r="L42" s="7" t="n">
        <f aca="false">SUMIFS(country_annual_ha!N$2:N$556,country_annual_ha!$D$2:$D$556,$A42,country_annual_ha!$E$2:$E$556,$B42)</f>
        <v>11675.3666086213</v>
      </c>
      <c r="M42" s="7" t="n">
        <f aca="false">SUMIFS(country_annual_ha!O$2:O$556,country_annual_ha!$D$2:$D$556,$A42,country_annual_ha!$E$2:$E$556,$B42)</f>
        <v>8470.65640329255</v>
      </c>
      <c r="N42" s="7" t="n">
        <f aca="false">SUMIFS(country_annual_ha!P$2:P$556,country_annual_ha!$D$2:$D$556,$A42,country_annual_ha!$E$2:$E$556,$B42)</f>
        <v>28898.8543829401</v>
      </c>
      <c r="O42" s="7" t="n">
        <f aca="false">SUMIFS(country_annual_ha!Q$2:Q$556,country_annual_ha!$D$2:$D$556,$A42,country_annual_ha!$E$2:$E$556,$B42)</f>
        <v>35738.2465891363</v>
      </c>
      <c r="P42" s="7" t="n">
        <f aca="false">SUMIFS(country_annual_ha!R$2:R$556,country_annual_ha!$D$2:$D$556,$A42,country_annual_ha!$E$2:$E$556,$B42)</f>
        <v>36363.1836222279</v>
      </c>
      <c r="Q42" s="7" t="n">
        <f aca="false">SUMIFS(country_annual_ha!S$2:S$556,country_annual_ha!$D$2:$D$556,$A42,country_annual_ha!$E$2:$E$556,$B42)</f>
        <v>36835.9171302765</v>
      </c>
      <c r="R42" s="7" t="n">
        <f aca="false">SUMIFS(country_annual_ha!T$2:T$556,country_annual_ha!$D$2:$D$556,$A42,country_annual_ha!$E$2:$E$556,$B42)</f>
        <v>33233.4255137281</v>
      </c>
      <c r="S42" s="7" t="n">
        <f aca="false">SUMIFS(country_annual_ha!U$2:U$556,country_annual_ha!$D$2:$D$556,$A42,country_annual_ha!$E$2:$E$556,$B42)</f>
        <v>30484.2598005167</v>
      </c>
      <c r="T42" s="7" t="n">
        <f aca="false">SUMIFS(country_annual_ha!V$2:V$556,country_annual_ha!$D$2:$D$556,$A42,country_annual_ha!$E$2:$E$556,$B42)</f>
        <v>19380.8383664912</v>
      </c>
      <c r="U42" s="7" t="n">
        <f aca="false">SUMIFS(country_annual_ha!W$2:W$556,country_annual_ha!$D$2:$D$556,$A42,country_annual_ha!$E$2:$E$556,$B42)</f>
        <v>9269.52282913378</v>
      </c>
      <c r="V42" s="7" t="n">
        <f aca="false">SUMIFS(country_annual_ha!X$2:X$556,country_annual_ha!$D$2:$D$556,$A42,country_annual_ha!$E$2:$E$556,$B42)</f>
        <v>3089.60553113997</v>
      </c>
      <c r="W42" s="7" t="n">
        <f aca="false">SUMIFS(country_annual_ha!Y$2:Y$556,country_annual_ha!$D$2:$D$556,$A42,country_annual_ha!$E$2:$E$556,$B42)</f>
        <v>3344.39719078794</v>
      </c>
      <c r="X42" s="7" t="n">
        <f aca="false">SUMIFS(country_annual_ha!Z$2:Z$556,country_annual_ha!$D$2:$D$556,$A42,country_annual_ha!$E$2:$E$556,$B42)</f>
        <v>3504.49066406885</v>
      </c>
      <c r="Y42" s="7" t="n">
        <f aca="false">SUMIFS(country_annual_ha!AA$2:AA$556,country_annual_ha!$D$2:$D$556,$A42,country_annual_ha!$E$2:$E$556,$B42)</f>
        <v>4308.14039398871</v>
      </c>
      <c r="Z42" s="7" t="n">
        <f aca="false">SUMIFS(country_annual_ha!AB$2:AB$556,country_annual_ha!$D$2:$D$556,$A42,country_annual_ha!$E$2:$E$556,$B42)</f>
        <v>3505.48551599229</v>
      </c>
    </row>
    <row r="43" customFormat="false" ht="15" hidden="false" customHeight="false" outlineLevel="0" collapsed="false">
      <c r="A43" s="4" t="s">
        <v>57</v>
      </c>
      <c r="B43" s="4" t="s">
        <v>93</v>
      </c>
      <c r="C43" s="4" t="s">
        <v>58</v>
      </c>
      <c r="D43" s="7" t="n">
        <f aca="false">SUMIFS(country_annual_ha!F$2:F$556,country_annual_ha!$D$2:$D$556,$A43,country_annual_ha!$E$2:$E$556,$B43)</f>
        <v>1937.44378827048</v>
      </c>
      <c r="E43" s="7" t="n">
        <f aca="false">SUMIFS(country_annual_ha!G$2:G$556,country_annual_ha!$D$2:$D$556,$A43,country_annual_ha!$E$2:$E$556,$B43)</f>
        <v>870.861601371764</v>
      </c>
      <c r="F43" s="7" t="n">
        <f aca="false">SUMIFS(country_annual_ha!H$2:H$556,country_annual_ha!$D$2:$D$556,$A43,country_annual_ha!$E$2:$E$556,$B43)</f>
        <v>868.163307462534</v>
      </c>
      <c r="G43" s="7" t="n">
        <f aca="false">SUMIFS(country_annual_ha!I$2:I$556,country_annual_ha!$D$2:$D$556,$A43,country_annual_ha!$E$2:$E$556,$B43)</f>
        <v>338.55433905906</v>
      </c>
      <c r="H43" s="7" t="n">
        <f aca="false">SUMIFS(country_annual_ha!J$2:J$556,country_annual_ha!$D$2:$D$556,$A43,country_annual_ha!$E$2:$E$556,$B43)</f>
        <v>506.004631550403</v>
      </c>
      <c r="I43" s="7" t="n">
        <f aca="false">SUMIFS(country_annual_ha!K$2:K$556,country_annual_ha!$D$2:$D$556,$A43,country_annual_ha!$E$2:$E$556,$B43)</f>
        <v>875.63092197865</v>
      </c>
      <c r="J43" s="7" t="n">
        <f aca="false">SUMIFS(country_annual_ha!L$2:L$556,country_annual_ha!$D$2:$D$556,$A43,country_annual_ha!$E$2:$E$556,$B43)</f>
        <v>869.161607874901</v>
      </c>
      <c r="K43" s="7" t="n">
        <f aca="false">SUMIFS(country_annual_ha!M$2:M$556,country_annual_ha!$D$2:$D$556,$A43,country_annual_ha!$E$2:$E$556,$B43)</f>
        <v>865.504789846999</v>
      </c>
      <c r="L43" s="7" t="n">
        <f aca="false">SUMIFS(country_annual_ha!N$2:N$556,country_annual_ha!$D$2:$D$556,$A43,country_annual_ha!$E$2:$E$556,$B43)</f>
        <v>1447.68230393404</v>
      </c>
      <c r="M43" s="7" t="n">
        <f aca="false">SUMIFS(country_annual_ha!O$2:O$556,country_annual_ha!$D$2:$D$556,$A43,country_annual_ha!$E$2:$E$556,$B43)</f>
        <v>864.972081075964</v>
      </c>
      <c r="N43" s="7" t="n">
        <f aca="false">SUMIFS(country_annual_ha!P$2:P$556,country_annual_ha!$D$2:$D$556,$A43,country_annual_ha!$E$2:$E$556,$B43)</f>
        <v>1584.19593613803</v>
      </c>
      <c r="O43" s="7" t="n">
        <f aca="false">SUMIFS(country_annual_ha!Q$2:Q$556,country_annual_ha!$D$2:$D$556,$A43,country_annual_ha!$E$2:$E$556,$B43)</f>
        <v>1943.64387243911</v>
      </c>
      <c r="P43" s="7" t="n">
        <f aca="false">SUMIFS(country_annual_ha!R$2:R$556,country_annual_ha!$D$2:$D$556,$A43,country_annual_ha!$E$2:$E$556,$B43)</f>
        <v>3423.56262698706</v>
      </c>
      <c r="Q43" s="7" t="n">
        <f aca="false">SUMIFS(country_annual_ha!S$2:S$556,country_annual_ha!$D$2:$D$556,$A43,country_annual_ha!$E$2:$E$556,$B43)</f>
        <v>2862.17527255267</v>
      </c>
      <c r="R43" s="7" t="n">
        <f aca="false">SUMIFS(country_annual_ha!T$2:T$556,country_annual_ha!$D$2:$D$556,$A43,country_annual_ha!$E$2:$E$556,$B43)</f>
        <v>2538.25184578022</v>
      </c>
      <c r="S43" s="7" t="n">
        <f aca="false">SUMIFS(country_annual_ha!U$2:U$556,country_annual_ha!$D$2:$D$556,$A43,country_annual_ha!$E$2:$E$556,$B43)</f>
        <v>1676.26023194732</v>
      </c>
      <c r="T43" s="7" t="n">
        <f aca="false">SUMIFS(country_annual_ha!V$2:V$556,country_annual_ha!$D$2:$D$556,$A43,country_annual_ha!$E$2:$E$556,$B43)</f>
        <v>1297.03184709455</v>
      </c>
      <c r="U43" s="7" t="n">
        <f aca="false">SUMIFS(country_annual_ha!W$2:W$556,country_annual_ha!$D$2:$D$556,$A43,country_annual_ha!$E$2:$E$556,$B43)</f>
        <v>950.063639800293</v>
      </c>
      <c r="V43" s="7" t="n">
        <f aca="false">SUMIFS(country_annual_ha!X$2:X$556,country_annual_ha!$D$2:$D$556,$A43,country_annual_ha!$E$2:$E$556,$B43)</f>
        <v>1054.17157653167</v>
      </c>
      <c r="W43" s="7" t="n">
        <f aca="false">SUMIFS(country_annual_ha!Y$2:Y$556,country_annual_ha!$D$2:$D$556,$A43,country_annual_ha!$E$2:$E$556,$B43)</f>
        <v>1551.24744382338</v>
      </c>
      <c r="X43" s="7" t="n">
        <f aca="false">SUMIFS(country_annual_ha!Z$2:Z$556,country_annual_ha!$D$2:$D$556,$A43,country_annual_ha!$E$2:$E$556,$B43)</f>
        <v>961.007042261733</v>
      </c>
      <c r="Y43" s="7" t="n">
        <f aca="false">SUMIFS(country_annual_ha!AA$2:AA$556,country_annual_ha!$D$2:$D$556,$A43,country_annual_ha!$E$2:$E$556,$B43)</f>
        <v>942.483136073926</v>
      </c>
      <c r="Z43" s="7" t="n">
        <f aca="false">SUMIFS(country_annual_ha!AB$2:AB$556,country_annual_ha!$D$2:$D$556,$A43,country_annual_ha!$E$2:$E$556,$B43)</f>
        <v>972.212594174256</v>
      </c>
    </row>
    <row r="44" customFormat="false" ht="15" hidden="false" customHeight="false" outlineLevel="0" collapsed="false">
      <c r="A44" s="4" t="s">
        <v>59</v>
      </c>
      <c r="B44" s="4" t="s">
        <v>91</v>
      </c>
      <c r="C44" s="4" t="s">
        <v>60</v>
      </c>
      <c r="D44" s="7" t="n">
        <f aca="false">SUMIFS(country_annual_ha!F$2:F$556,country_annual_ha!$D$2:$D$556,$A44,country_annual_ha!$E$2:$E$556,$B44)</f>
        <v>124.570617177648</v>
      </c>
      <c r="E44" s="7" t="n">
        <f aca="false">SUMIFS(country_annual_ha!G$2:G$556,country_annual_ha!$D$2:$D$556,$A44,country_annual_ha!$E$2:$E$556,$B44)</f>
        <v>255.269693036206</v>
      </c>
      <c r="F44" s="7" t="n">
        <f aca="false">SUMIFS(country_annual_ha!H$2:H$556,country_annual_ha!$D$2:$D$556,$A44,country_annual_ha!$E$2:$E$556,$B44)</f>
        <v>175.700112674367</v>
      </c>
      <c r="G44" s="7" t="n">
        <f aca="false">SUMIFS(country_annual_ha!I$2:I$556,country_annual_ha!$D$2:$D$556,$A44,country_annual_ha!$E$2:$E$556,$B44)</f>
        <v>7.81263862304688</v>
      </c>
      <c r="H44" s="7" t="n">
        <f aca="false">SUMIFS(country_annual_ha!J$2:J$556,country_annual_ha!$D$2:$D$556,$A44,country_annual_ha!$E$2:$E$556,$B44)</f>
        <v>696.188893024672</v>
      </c>
      <c r="I44" s="7" t="n">
        <f aca="false">SUMIFS(country_annual_ha!K$2:K$556,country_annual_ha!$D$2:$D$556,$A44,country_annual_ha!$E$2:$E$556,$B44)</f>
        <v>2776.35003769298</v>
      </c>
      <c r="J44" s="7" t="n">
        <f aca="false">SUMIFS(country_annual_ha!L$2:L$556,country_annual_ha!$D$2:$D$556,$A44,country_annual_ha!$E$2:$E$556,$B44)</f>
        <v>3959.48737105684</v>
      </c>
      <c r="K44" s="7" t="n">
        <f aca="false">SUMIFS(country_annual_ha!M$2:M$556,country_annual_ha!$D$2:$D$556,$A44,country_annual_ha!$E$2:$E$556,$B44)</f>
        <v>3752.48099010972</v>
      </c>
      <c r="L44" s="7" t="n">
        <f aca="false">SUMIFS(country_annual_ha!N$2:N$556,country_annual_ha!$D$2:$D$556,$A44,country_annual_ha!$E$2:$E$556,$B44)</f>
        <v>2591.97558434476</v>
      </c>
      <c r="M44" s="7" t="n">
        <f aca="false">SUMIFS(country_annual_ha!O$2:O$556,country_annual_ha!$D$2:$D$556,$A44,country_annual_ha!$E$2:$E$556,$B44)</f>
        <v>1010.06080742274</v>
      </c>
      <c r="N44" s="7" t="n">
        <f aca="false">SUMIFS(country_annual_ha!P$2:P$556,country_annual_ha!$D$2:$D$556,$A44,country_annual_ha!$E$2:$E$556,$B44)</f>
        <v>2172.28238526491</v>
      </c>
      <c r="O44" s="7" t="n">
        <f aca="false">SUMIFS(country_annual_ha!Q$2:Q$556,country_annual_ha!$D$2:$D$556,$A44,country_annual_ha!$E$2:$E$556,$B44)</f>
        <v>1814.64338731372</v>
      </c>
      <c r="P44" s="7" t="n">
        <f aca="false">SUMIFS(country_annual_ha!R$2:R$556,country_annual_ha!$D$2:$D$556,$A44,country_annual_ha!$E$2:$E$556,$B44)</f>
        <v>2593.46629273182</v>
      </c>
      <c r="Q44" s="7" t="n">
        <f aca="false">SUMIFS(country_annual_ha!S$2:S$556,country_annual_ha!$D$2:$D$556,$A44,country_annual_ha!$E$2:$E$556,$B44)</f>
        <v>6683.1502505232</v>
      </c>
      <c r="R44" s="7" t="n">
        <f aca="false">SUMIFS(country_annual_ha!T$2:T$556,country_annual_ha!$D$2:$D$556,$A44,country_annual_ha!$E$2:$E$556,$B44)</f>
        <v>7291.12800336129</v>
      </c>
      <c r="S44" s="7" t="n">
        <f aca="false">SUMIFS(country_annual_ha!U$2:U$556,country_annual_ha!$D$2:$D$556,$A44,country_annual_ha!$E$2:$E$556,$B44)</f>
        <v>13262.4374493767</v>
      </c>
      <c r="T44" s="7" t="n">
        <f aca="false">SUMIFS(country_annual_ha!V$2:V$556,country_annual_ha!$D$2:$D$556,$A44,country_annual_ha!$E$2:$E$556,$B44)</f>
        <v>13822.4665608965</v>
      </c>
      <c r="U44" s="7" t="n">
        <f aca="false">SUMIFS(country_annual_ha!W$2:W$556,country_annual_ha!$D$2:$D$556,$A44,country_annual_ha!$E$2:$E$556,$B44)</f>
        <v>13513.7681649721</v>
      </c>
      <c r="V44" s="7" t="n">
        <f aca="false">SUMIFS(country_annual_ha!X$2:X$556,country_annual_ha!$D$2:$D$556,$A44,country_annual_ha!$E$2:$E$556,$B44)</f>
        <v>8230.62730847515</v>
      </c>
      <c r="W44" s="7" t="n">
        <f aca="false">SUMIFS(country_annual_ha!Y$2:Y$556,country_annual_ha!$D$2:$D$556,$A44,country_annual_ha!$E$2:$E$556,$B44)</f>
        <v>3327.17866564673</v>
      </c>
      <c r="X44" s="7" t="n">
        <f aca="false">SUMIFS(country_annual_ha!Z$2:Z$556,country_annual_ha!$D$2:$D$556,$A44,country_annual_ha!$E$2:$E$556,$B44)</f>
        <v>2402.25421151886</v>
      </c>
      <c r="Y44" s="7" t="n">
        <f aca="false">SUMIFS(country_annual_ha!AA$2:AA$556,country_annual_ha!$D$2:$D$556,$A44,country_annual_ha!$E$2:$E$556,$B44)</f>
        <v>2657.71512175069</v>
      </c>
      <c r="Z44" s="7" t="n">
        <f aca="false">SUMIFS(country_annual_ha!AB$2:AB$556,country_annual_ha!$D$2:$D$556,$A44,country_annual_ha!$E$2:$E$556,$B44)</f>
        <v>2795.57823165078</v>
      </c>
    </row>
    <row r="45" customFormat="false" ht="15" hidden="false" customHeight="false" outlineLevel="0" collapsed="false">
      <c r="A45" s="4" t="s">
        <v>59</v>
      </c>
      <c r="B45" s="4" t="s">
        <v>92</v>
      </c>
      <c r="C45" s="4" t="s">
        <v>60</v>
      </c>
      <c r="D45" s="7" t="n">
        <f aca="false">SUMIFS(country_annual_ha!F$2:F$556,country_annual_ha!$D$2:$D$556,$A45,country_annual_ha!$E$2:$E$556,$B45)</f>
        <v>9361.30501315895</v>
      </c>
      <c r="E45" s="7" t="n">
        <f aca="false">SUMIFS(country_annual_ha!G$2:G$556,country_annual_ha!$D$2:$D$556,$A45,country_annual_ha!$E$2:$E$556,$B45)</f>
        <v>8745.84621629844</v>
      </c>
      <c r="F45" s="7" t="n">
        <f aca="false">SUMIFS(country_annual_ha!H$2:H$556,country_annual_ha!$D$2:$D$556,$A45,country_annual_ha!$E$2:$E$556,$B45)</f>
        <v>8742.12724350993</v>
      </c>
      <c r="G45" s="7" t="n">
        <f aca="false">SUMIFS(country_annual_ha!I$2:I$556,country_annual_ha!$D$2:$D$556,$A45,country_annual_ha!$E$2:$E$556,$B45)</f>
        <v>7809.06214659627</v>
      </c>
      <c r="H45" s="7" t="n">
        <f aca="false">SUMIFS(country_annual_ha!J$2:J$556,country_annual_ha!$D$2:$D$556,$A45,country_annual_ha!$E$2:$E$556,$B45)</f>
        <v>7612.25733272235</v>
      </c>
      <c r="I45" s="7" t="n">
        <f aca="false">SUMIFS(country_annual_ha!K$2:K$556,country_annual_ha!$D$2:$D$556,$A45,country_annual_ha!$E$2:$E$556,$B45)</f>
        <v>7471.23872511642</v>
      </c>
      <c r="J45" s="7" t="n">
        <f aca="false">SUMIFS(country_annual_ha!L$2:L$556,country_annual_ha!$D$2:$D$556,$A45,country_annual_ha!$E$2:$E$556,$B45)</f>
        <v>7254.8621738831</v>
      </c>
      <c r="K45" s="7" t="n">
        <f aca="false">SUMIFS(country_annual_ha!M$2:M$556,country_annual_ha!$D$2:$D$556,$A45,country_annual_ha!$E$2:$E$556,$B45)</f>
        <v>8866.66732461311</v>
      </c>
      <c r="L45" s="7" t="n">
        <f aca="false">SUMIFS(country_annual_ha!N$2:N$556,country_annual_ha!$D$2:$D$556,$A45,country_annual_ha!$E$2:$E$556,$B45)</f>
        <v>10241.8215420041</v>
      </c>
      <c r="M45" s="7" t="n">
        <f aca="false">SUMIFS(country_annual_ha!O$2:O$556,country_annual_ha!$D$2:$D$556,$A45,country_annual_ha!$E$2:$E$556,$B45)</f>
        <v>7168.43631212584</v>
      </c>
      <c r="N45" s="7" t="n">
        <f aca="false">SUMIFS(country_annual_ha!P$2:P$556,country_annual_ha!$D$2:$D$556,$A45,country_annual_ha!$E$2:$E$556,$B45)</f>
        <v>8949.61143863393</v>
      </c>
      <c r="O45" s="7" t="n">
        <f aca="false">SUMIFS(country_annual_ha!Q$2:Q$556,country_annual_ha!$D$2:$D$556,$A45,country_annual_ha!$E$2:$E$556,$B45)</f>
        <v>5404.58277141847</v>
      </c>
      <c r="P45" s="7" t="n">
        <f aca="false">SUMIFS(country_annual_ha!R$2:R$556,country_annual_ha!$D$2:$D$556,$A45,country_annual_ha!$E$2:$E$556,$B45)</f>
        <v>1196.38248908311</v>
      </c>
      <c r="Q45" s="7" t="n">
        <f aca="false">SUMIFS(country_annual_ha!S$2:S$556,country_annual_ha!$D$2:$D$556,$A45,country_annual_ha!$E$2:$E$556,$B45)</f>
        <v>2874.10326878341</v>
      </c>
      <c r="R45" s="7" t="n">
        <f aca="false">SUMIFS(country_annual_ha!T$2:T$556,country_annual_ha!$D$2:$D$556,$A45,country_annual_ha!$E$2:$E$556,$B45)</f>
        <v>2753.92170026891</v>
      </c>
      <c r="S45" s="7" t="n">
        <f aca="false">SUMIFS(country_annual_ha!U$2:U$556,country_annual_ha!$D$2:$D$556,$A45,country_annual_ha!$E$2:$E$556,$B45)</f>
        <v>4830.07617269793</v>
      </c>
      <c r="T45" s="7" t="n">
        <f aca="false">SUMIFS(country_annual_ha!V$2:V$556,country_annual_ha!$D$2:$D$556,$A45,country_annual_ha!$E$2:$E$556,$B45)</f>
        <v>4552.59731201939</v>
      </c>
      <c r="U45" s="7" t="n">
        <f aca="false">SUMIFS(country_annual_ha!W$2:W$556,country_annual_ha!$D$2:$D$556,$A45,country_annual_ha!$E$2:$E$556,$B45)</f>
        <v>4551.51492157136</v>
      </c>
      <c r="V45" s="7" t="n">
        <f aca="false">SUMIFS(country_annual_ha!X$2:X$556,country_annual_ha!$D$2:$D$556,$A45,country_annual_ha!$E$2:$E$556,$B45)</f>
        <v>2871.06540542065</v>
      </c>
      <c r="W45" s="7" t="n">
        <f aca="false">SUMIFS(country_annual_ha!Y$2:Y$556,country_annual_ha!$D$2:$D$556,$A45,country_annual_ha!$E$2:$E$556,$B45)</f>
        <v>1981.6003972631</v>
      </c>
      <c r="X45" s="7" t="n">
        <f aca="false">SUMIFS(country_annual_ha!Z$2:Z$556,country_annual_ha!$D$2:$D$556,$A45,country_annual_ha!$E$2:$E$556,$B45)</f>
        <v>1762.1030850972</v>
      </c>
      <c r="Y45" s="7" t="n">
        <f aca="false">SUMIFS(country_annual_ha!AA$2:AA$556,country_annual_ha!$D$2:$D$556,$A45,country_annual_ha!$E$2:$E$556,$B45)</f>
        <v>2256.03599943278</v>
      </c>
      <c r="Z45" s="7" t="n">
        <f aca="false">SUMIFS(country_annual_ha!AB$2:AB$556,country_annual_ha!$D$2:$D$556,$A45,country_annual_ha!$E$2:$E$556,$B45)</f>
        <v>1998.24993755822</v>
      </c>
    </row>
    <row r="46" customFormat="false" ht="15" hidden="false" customHeight="false" outlineLevel="0" collapsed="false">
      <c r="A46" s="4" t="s">
        <v>59</v>
      </c>
      <c r="B46" s="4" t="s">
        <v>93</v>
      </c>
      <c r="C46" s="4" t="s">
        <v>60</v>
      </c>
      <c r="D46" s="7" t="n">
        <f aca="false">SUMIFS(country_annual_ha!F$2:F$556,country_annual_ha!$D$2:$D$556,$A46,country_annual_ha!$E$2:$E$556,$B46)</f>
        <v>0</v>
      </c>
      <c r="E46" s="7" t="n">
        <f aca="false">SUMIFS(country_annual_ha!G$2:G$556,country_annual_ha!$D$2:$D$556,$A46,country_annual_ha!$E$2:$E$556,$B46)</f>
        <v>0</v>
      </c>
      <c r="F46" s="7" t="n">
        <f aca="false">SUMIFS(country_annual_ha!H$2:H$556,country_annual_ha!$D$2:$D$556,$A46,country_annual_ha!$E$2:$E$556,$B46)</f>
        <v>0</v>
      </c>
      <c r="G46" s="7" t="n">
        <f aca="false">SUMIFS(country_annual_ha!I$2:I$556,country_annual_ha!$D$2:$D$556,$A46,country_annual_ha!$E$2:$E$556,$B46)</f>
        <v>0</v>
      </c>
      <c r="H46" s="7" t="n">
        <f aca="false">SUMIFS(country_annual_ha!J$2:J$556,country_annual_ha!$D$2:$D$556,$A46,country_annual_ha!$E$2:$E$556,$B46)</f>
        <v>0</v>
      </c>
      <c r="I46" s="7" t="n">
        <f aca="false">SUMIFS(country_annual_ha!K$2:K$556,country_annual_ha!$D$2:$D$556,$A46,country_annual_ha!$E$2:$E$556,$B46)</f>
        <v>0</v>
      </c>
      <c r="J46" s="7" t="n">
        <f aca="false">SUMIFS(country_annual_ha!L$2:L$556,country_annual_ha!$D$2:$D$556,$A46,country_annual_ha!$E$2:$E$556,$B46)</f>
        <v>0</v>
      </c>
      <c r="K46" s="7" t="n">
        <f aca="false">SUMIFS(country_annual_ha!M$2:M$556,country_annual_ha!$D$2:$D$556,$A46,country_annual_ha!$E$2:$E$556,$B46)</f>
        <v>0</v>
      </c>
      <c r="L46" s="7" t="n">
        <f aca="false">SUMIFS(country_annual_ha!N$2:N$556,country_annual_ha!$D$2:$D$556,$A46,country_annual_ha!$E$2:$E$556,$B46)</f>
        <v>0</v>
      </c>
      <c r="M46" s="7" t="n">
        <f aca="false">SUMIFS(country_annual_ha!O$2:O$556,country_annual_ha!$D$2:$D$556,$A46,country_annual_ha!$E$2:$E$556,$B46)</f>
        <v>0</v>
      </c>
      <c r="N46" s="7" t="n">
        <f aca="false">SUMIFS(country_annual_ha!P$2:P$556,country_annual_ha!$D$2:$D$556,$A46,country_annual_ha!$E$2:$E$556,$B46)</f>
        <v>0</v>
      </c>
      <c r="O46" s="7" t="n">
        <f aca="false">SUMIFS(country_annual_ha!Q$2:Q$556,country_annual_ha!$D$2:$D$556,$A46,country_annual_ha!$E$2:$E$556,$B46)</f>
        <v>0</v>
      </c>
      <c r="P46" s="7" t="n">
        <f aca="false">SUMIFS(country_annual_ha!R$2:R$556,country_annual_ha!$D$2:$D$556,$A46,country_annual_ha!$E$2:$E$556,$B46)</f>
        <v>0</v>
      </c>
      <c r="Q46" s="7" t="n">
        <f aca="false">SUMIFS(country_annual_ha!S$2:S$556,country_annual_ha!$D$2:$D$556,$A46,country_annual_ha!$E$2:$E$556,$B46)</f>
        <v>0</v>
      </c>
      <c r="R46" s="7" t="n">
        <f aca="false">SUMIFS(country_annual_ha!T$2:T$556,country_annual_ha!$D$2:$D$556,$A46,country_annual_ha!$E$2:$E$556,$B46)</f>
        <v>0</v>
      </c>
      <c r="S46" s="7" t="n">
        <f aca="false">SUMIFS(country_annual_ha!U$2:U$556,country_annual_ha!$D$2:$D$556,$A46,country_annual_ha!$E$2:$E$556,$B46)</f>
        <v>0</v>
      </c>
      <c r="T46" s="7" t="n">
        <f aca="false">SUMIFS(country_annual_ha!V$2:V$556,country_annual_ha!$D$2:$D$556,$A46,country_annual_ha!$E$2:$E$556,$B46)</f>
        <v>0</v>
      </c>
      <c r="U46" s="7" t="n">
        <f aca="false">SUMIFS(country_annual_ha!W$2:W$556,country_annual_ha!$D$2:$D$556,$A46,country_annual_ha!$E$2:$E$556,$B46)</f>
        <v>0</v>
      </c>
      <c r="V46" s="7" t="n">
        <f aca="false">SUMIFS(country_annual_ha!X$2:X$556,country_annual_ha!$D$2:$D$556,$A46,country_annual_ha!$E$2:$E$556,$B46)</f>
        <v>0</v>
      </c>
      <c r="W46" s="7" t="n">
        <f aca="false">SUMIFS(country_annual_ha!Y$2:Y$556,country_annual_ha!$D$2:$D$556,$A46,country_annual_ha!$E$2:$E$556,$B46)</f>
        <v>0</v>
      </c>
      <c r="X46" s="7" t="n">
        <f aca="false">SUMIFS(country_annual_ha!Z$2:Z$556,country_annual_ha!$D$2:$D$556,$A46,country_annual_ha!$E$2:$E$556,$B46)</f>
        <v>0</v>
      </c>
      <c r="Y46" s="7" t="n">
        <f aca="false">SUMIFS(country_annual_ha!AA$2:AA$556,country_annual_ha!$D$2:$D$556,$A46,country_annual_ha!$E$2:$E$556,$B46)</f>
        <v>0</v>
      </c>
      <c r="Z46" s="7" t="n">
        <f aca="false">SUMIFS(country_annual_ha!AB$2:AB$556,country_annual_ha!$D$2:$D$556,$A46,country_annual_ha!$E$2:$E$556,$B46)</f>
        <v>0</v>
      </c>
    </row>
    <row r="47" customFormat="false" ht="15" hidden="false" customHeight="false" outlineLevel="0" collapsed="false">
      <c r="A47" s="4" t="s">
        <v>61</v>
      </c>
      <c r="B47" s="4" t="s">
        <v>91</v>
      </c>
      <c r="C47" s="4" t="s">
        <v>62</v>
      </c>
      <c r="D47" s="7" t="n">
        <f aca="false">SUMIFS(country_annual_ha!F$2:F$556,country_annual_ha!$D$2:$D$556,$A47,country_annual_ha!$E$2:$E$556,$B47)</f>
        <v>68544.0593760456</v>
      </c>
      <c r="E47" s="7" t="n">
        <f aca="false">SUMIFS(country_annual_ha!G$2:G$556,country_annual_ha!$D$2:$D$556,$A47,country_annual_ha!$E$2:$E$556,$B47)</f>
        <v>74586.8680899195</v>
      </c>
      <c r="F47" s="7" t="n">
        <f aca="false">SUMIFS(country_annual_ha!H$2:H$556,country_annual_ha!$D$2:$D$556,$A47,country_annual_ha!$E$2:$E$556,$B47)</f>
        <v>79549.6524524898</v>
      </c>
      <c r="G47" s="7" t="n">
        <f aca="false">SUMIFS(country_annual_ha!I$2:I$556,country_annual_ha!$D$2:$D$556,$A47,country_annual_ha!$E$2:$E$556,$B47)</f>
        <v>78714.8288089396</v>
      </c>
      <c r="H47" s="7" t="n">
        <f aca="false">SUMIFS(country_annual_ha!J$2:J$556,country_annual_ha!$D$2:$D$556,$A47,country_annual_ha!$E$2:$E$556,$B47)</f>
        <v>115074.33036712</v>
      </c>
      <c r="I47" s="7" t="n">
        <f aca="false">SUMIFS(country_annual_ha!K$2:K$556,country_annual_ha!$D$2:$D$556,$A47,country_annual_ha!$E$2:$E$556,$B47)</f>
        <v>112029.432335493</v>
      </c>
      <c r="J47" s="7" t="n">
        <f aca="false">SUMIFS(country_annual_ha!L$2:L$556,country_annual_ha!$D$2:$D$556,$A47,country_annual_ha!$E$2:$E$556,$B47)</f>
        <v>135891.157801321</v>
      </c>
      <c r="K47" s="7" t="n">
        <f aca="false">SUMIFS(country_annual_ha!M$2:M$556,country_annual_ha!$D$2:$D$556,$A47,country_annual_ha!$E$2:$E$556,$B47)</f>
        <v>164027.244769551</v>
      </c>
      <c r="L47" s="7" t="n">
        <f aca="false">SUMIFS(country_annual_ha!N$2:N$556,country_annual_ha!$D$2:$D$556,$A47,country_annual_ha!$E$2:$E$556,$B47)</f>
        <v>174521.485906032</v>
      </c>
      <c r="M47" s="7" t="n">
        <f aca="false">SUMIFS(country_annual_ha!O$2:O$556,country_annual_ha!$D$2:$D$556,$A47,country_annual_ha!$E$2:$E$556,$B47)</f>
        <v>121303.583377723</v>
      </c>
      <c r="N47" s="7" t="n">
        <f aca="false">SUMIFS(country_annual_ha!P$2:P$556,country_annual_ha!$D$2:$D$556,$A47,country_annual_ha!$E$2:$E$556,$B47)</f>
        <v>139603.307820504</v>
      </c>
      <c r="O47" s="7" t="n">
        <f aca="false">SUMIFS(country_annual_ha!Q$2:Q$556,country_annual_ha!$D$2:$D$556,$A47,country_annual_ha!$E$2:$E$556,$B47)</f>
        <v>136929.184895218</v>
      </c>
      <c r="P47" s="7" t="n">
        <f aca="false">SUMIFS(country_annual_ha!R$2:R$556,country_annual_ha!$D$2:$D$556,$A47,country_annual_ha!$E$2:$E$556,$B47)</f>
        <v>126229.306594402</v>
      </c>
      <c r="Q47" s="7" t="n">
        <f aca="false">SUMIFS(country_annual_ha!S$2:S$556,country_annual_ha!$D$2:$D$556,$A47,country_annual_ha!$E$2:$E$556,$B47)</f>
        <v>140639.591466125</v>
      </c>
      <c r="R47" s="7" t="n">
        <f aca="false">SUMIFS(country_annual_ha!T$2:T$556,country_annual_ha!$D$2:$D$556,$A47,country_annual_ha!$E$2:$E$556,$B47)</f>
        <v>111587.553225515</v>
      </c>
      <c r="S47" s="7" t="n">
        <f aca="false">SUMIFS(country_annual_ha!U$2:U$556,country_annual_ha!$D$2:$D$556,$A47,country_annual_ha!$E$2:$E$556,$B47)</f>
        <v>135880.427618042</v>
      </c>
      <c r="T47" s="7" t="n">
        <f aca="false">SUMIFS(country_annual_ha!V$2:V$556,country_annual_ha!$D$2:$D$556,$A47,country_annual_ha!$E$2:$E$556,$B47)</f>
        <v>126361.119032193</v>
      </c>
      <c r="U47" s="7" t="n">
        <f aca="false">SUMIFS(country_annual_ha!W$2:W$556,country_annual_ha!$D$2:$D$556,$A47,country_annual_ha!$E$2:$E$556,$B47)</f>
        <v>93233.4636540143</v>
      </c>
      <c r="V47" s="7" t="n">
        <f aca="false">SUMIFS(country_annual_ha!X$2:X$556,country_annual_ha!$D$2:$D$556,$A47,country_annual_ha!$E$2:$E$556,$B47)</f>
        <v>64623.0191619016</v>
      </c>
      <c r="W47" s="7" t="n">
        <f aca="false">SUMIFS(country_annual_ha!Y$2:Y$556,country_annual_ha!$D$2:$D$556,$A47,country_annual_ha!$E$2:$E$556,$B47)</f>
        <v>75781.3098348926</v>
      </c>
      <c r="X47" s="7" t="n">
        <f aca="false">SUMIFS(country_annual_ha!Z$2:Z$556,country_annual_ha!$D$2:$D$556,$A47,country_annual_ha!$E$2:$E$556,$B47)</f>
        <v>62864.8391370173</v>
      </c>
      <c r="Y47" s="7" t="n">
        <f aca="false">SUMIFS(country_annual_ha!AA$2:AA$556,country_annual_ha!$D$2:$D$556,$A47,country_annual_ha!$E$2:$E$556,$B47)</f>
        <v>65793.4763073238</v>
      </c>
      <c r="Z47" s="7" t="n">
        <f aca="false">SUMIFS(country_annual_ha!AB$2:AB$556,country_annual_ha!$D$2:$D$556,$A47,country_annual_ha!$E$2:$E$556,$B47)</f>
        <v>84870.7684525968</v>
      </c>
    </row>
    <row r="48" customFormat="false" ht="15" hidden="false" customHeight="false" outlineLevel="0" collapsed="false">
      <c r="A48" s="4" t="s">
        <v>61</v>
      </c>
      <c r="B48" s="4" t="s">
        <v>92</v>
      </c>
      <c r="C48" s="4" t="s">
        <v>62</v>
      </c>
      <c r="D48" s="7" t="n">
        <f aca="false">SUMIFS(country_annual_ha!F$2:F$556,country_annual_ha!$D$2:$D$556,$A48,country_annual_ha!$E$2:$E$556,$B48)</f>
        <v>28299.8261947572</v>
      </c>
      <c r="E48" s="7" t="n">
        <f aca="false">SUMIFS(country_annual_ha!G$2:G$556,country_annual_ha!$D$2:$D$556,$A48,country_annual_ha!$E$2:$E$556,$B48)</f>
        <v>29392.2508966085</v>
      </c>
      <c r="F48" s="7" t="n">
        <f aca="false">SUMIFS(country_annual_ha!H$2:H$556,country_annual_ha!$D$2:$D$556,$A48,country_annual_ha!$E$2:$E$556,$B48)</f>
        <v>33588.4228643387</v>
      </c>
      <c r="G48" s="7" t="n">
        <f aca="false">SUMIFS(country_annual_ha!I$2:I$556,country_annual_ha!$D$2:$D$556,$A48,country_annual_ha!$E$2:$E$556,$B48)</f>
        <v>25138.9008235105</v>
      </c>
      <c r="H48" s="7" t="n">
        <f aca="false">SUMIFS(country_annual_ha!J$2:J$556,country_annual_ha!$D$2:$D$556,$A48,country_annual_ha!$E$2:$E$556,$B48)</f>
        <v>44703.0695604774</v>
      </c>
      <c r="I48" s="7" t="n">
        <f aca="false">SUMIFS(country_annual_ha!K$2:K$556,country_annual_ha!$D$2:$D$556,$A48,country_annual_ha!$E$2:$E$556,$B48)</f>
        <v>35066.5814649253</v>
      </c>
      <c r="J48" s="7" t="n">
        <f aca="false">SUMIFS(country_annual_ha!L$2:L$556,country_annual_ha!$D$2:$D$556,$A48,country_annual_ha!$E$2:$E$556,$B48)</f>
        <v>52818.1844356113</v>
      </c>
      <c r="K48" s="7" t="n">
        <f aca="false">SUMIFS(country_annual_ha!M$2:M$556,country_annual_ha!$D$2:$D$556,$A48,country_annual_ha!$E$2:$E$556,$B48)</f>
        <v>50805.4531678404</v>
      </c>
      <c r="L48" s="7" t="n">
        <f aca="false">SUMIFS(country_annual_ha!N$2:N$556,country_annual_ha!$D$2:$D$556,$A48,country_annual_ha!$E$2:$E$556,$B48)</f>
        <v>51836.1101000409</v>
      </c>
      <c r="M48" s="7" t="n">
        <f aca="false">SUMIFS(country_annual_ha!O$2:O$556,country_annual_ha!$D$2:$D$556,$A48,country_annual_ha!$E$2:$E$556,$B48)</f>
        <v>36705.1818935876</v>
      </c>
      <c r="N48" s="7" t="n">
        <f aca="false">SUMIFS(country_annual_ha!P$2:P$556,country_annual_ha!$D$2:$D$556,$A48,country_annual_ha!$E$2:$E$556,$B48)</f>
        <v>21242.4486432666</v>
      </c>
      <c r="O48" s="7" t="n">
        <f aca="false">SUMIFS(country_annual_ha!Q$2:Q$556,country_annual_ha!$D$2:$D$556,$A48,country_annual_ha!$E$2:$E$556,$B48)</f>
        <v>31374.3199154304</v>
      </c>
      <c r="P48" s="7" t="n">
        <f aca="false">SUMIFS(country_annual_ha!R$2:R$556,country_annual_ha!$D$2:$D$556,$A48,country_annual_ha!$E$2:$E$556,$B48)</f>
        <v>20905.6504298724</v>
      </c>
      <c r="Q48" s="7" t="n">
        <f aca="false">SUMIFS(country_annual_ha!S$2:S$556,country_annual_ha!$D$2:$D$556,$A48,country_annual_ha!$E$2:$E$556,$B48)</f>
        <v>37128.5328742628</v>
      </c>
      <c r="R48" s="7" t="n">
        <f aca="false">SUMIFS(country_annual_ha!T$2:T$556,country_annual_ha!$D$2:$D$556,$A48,country_annual_ha!$E$2:$E$556,$B48)</f>
        <v>33547.6619165016</v>
      </c>
      <c r="S48" s="7" t="n">
        <f aca="false">SUMIFS(country_annual_ha!U$2:U$556,country_annual_ha!$D$2:$D$556,$A48,country_annual_ha!$E$2:$E$556,$B48)</f>
        <v>49277.5965643532</v>
      </c>
      <c r="T48" s="7" t="n">
        <f aca="false">SUMIFS(country_annual_ha!V$2:V$556,country_annual_ha!$D$2:$D$556,$A48,country_annual_ha!$E$2:$E$556,$B48)</f>
        <v>60177.3510190094</v>
      </c>
      <c r="U48" s="7" t="n">
        <f aca="false">SUMIFS(country_annual_ha!W$2:W$556,country_annual_ha!$D$2:$D$556,$A48,country_annual_ha!$E$2:$E$556,$B48)</f>
        <v>42355.0698670023</v>
      </c>
      <c r="V48" s="7" t="n">
        <f aca="false">SUMIFS(country_annual_ha!X$2:X$556,country_annual_ha!$D$2:$D$556,$A48,country_annual_ha!$E$2:$E$556,$B48)</f>
        <v>49969.7923984194</v>
      </c>
      <c r="W48" s="7" t="n">
        <f aca="false">SUMIFS(country_annual_ha!Y$2:Y$556,country_annual_ha!$D$2:$D$556,$A48,country_annual_ha!$E$2:$E$556,$B48)</f>
        <v>58417.4492050478</v>
      </c>
      <c r="X48" s="7" t="n">
        <f aca="false">SUMIFS(country_annual_ha!Z$2:Z$556,country_annual_ha!$D$2:$D$556,$A48,country_annual_ha!$E$2:$E$556,$B48)</f>
        <v>63444.0912021382</v>
      </c>
      <c r="Y48" s="7" t="n">
        <f aca="false">SUMIFS(country_annual_ha!AA$2:AA$556,country_annual_ha!$D$2:$D$556,$A48,country_annual_ha!$E$2:$E$556,$B48)</f>
        <v>67293.7439877691</v>
      </c>
      <c r="Z48" s="7" t="n">
        <f aca="false">SUMIFS(country_annual_ha!AB$2:AB$556,country_annual_ha!$D$2:$D$556,$A48,country_annual_ha!$E$2:$E$556,$B48)</f>
        <v>72340.0374583291</v>
      </c>
    </row>
    <row r="49" customFormat="false" ht="15" hidden="false" customHeight="false" outlineLevel="0" collapsed="false">
      <c r="A49" s="4" t="s">
        <v>61</v>
      </c>
      <c r="B49" s="4" t="s">
        <v>93</v>
      </c>
      <c r="C49" s="4" t="s">
        <v>62</v>
      </c>
      <c r="D49" s="7" t="n">
        <f aca="false">SUMIFS(country_annual_ha!F$2:F$556,country_annual_ha!$D$2:$D$556,$A49,country_annual_ha!$E$2:$E$556,$B49)</f>
        <v>1756.99481073281</v>
      </c>
      <c r="E49" s="7" t="n">
        <f aca="false">SUMIFS(country_annual_ha!G$2:G$556,country_annual_ha!$D$2:$D$556,$A49,country_annual_ha!$E$2:$E$556,$B49)</f>
        <v>1227.60371872263</v>
      </c>
      <c r="F49" s="7" t="n">
        <f aca="false">SUMIFS(country_annual_ha!H$2:H$556,country_annual_ha!$D$2:$D$556,$A49,country_annual_ha!$E$2:$E$556,$B49)</f>
        <v>1365.45918126949</v>
      </c>
      <c r="G49" s="7" t="n">
        <f aca="false">SUMIFS(country_annual_ha!I$2:I$556,country_annual_ha!$D$2:$D$556,$A49,country_annual_ha!$E$2:$E$556,$B49)</f>
        <v>1613.64534828275</v>
      </c>
      <c r="H49" s="7" t="n">
        <f aca="false">SUMIFS(country_annual_ha!J$2:J$556,country_annual_ha!$D$2:$D$556,$A49,country_annual_ha!$E$2:$E$556,$B49)</f>
        <v>1985.67491427168</v>
      </c>
      <c r="I49" s="7" t="n">
        <f aca="false">SUMIFS(country_annual_ha!K$2:K$556,country_annual_ha!$D$2:$D$556,$A49,country_annual_ha!$E$2:$E$556,$B49)</f>
        <v>1356.49645935767</v>
      </c>
      <c r="J49" s="7" t="n">
        <f aca="false">SUMIFS(country_annual_ha!L$2:L$556,country_annual_ha!$D$2:$D$556,$A49,country_annual_ha!$E$2:$E$556,$B49)</f>
        <v>3931.70546789754</v>
      </c>
      <c r="K49" s="7" t="n">
        <f aca="false">SUMIFS(country_annual_ha!M$2:M$556,country_annual_ha!$D$2:$D$556,$A49,country_annual_ha!$E$2:$E$556,$B49)</f>
        <v>2477.63643075644</v>
      </c>
      <c r="L49" s="7" t="n">
        <f aca="false">SUMIFS(country_annual_ha!N$2:N$556,country_annual_ha!$D$2:$D$556,$A49,country_annual_ha!$E$2:$E$556,$B49)</f>
        <v>650.989874275523</v>
      </c>
      <c r="M49" s="7" t="n">
        <f aca="false">SUMIFS(country_annual_ha!O$2:O$556,country_annual_ha!$D$2:$D$556,$A49,country_annual_ha!$E$2:$E$556,$B49)</f>
        <v>630.302356268625</v>
      </c>
      <c r="N49" s="7" t="n">
        <f aca="false">SUMIFS(country_annual_ha!P$2:P$556,country_annual_ha!$D$2:$D$556,$A49,country_annual_ha!$E$2:$E$556,$B49)</f>
        <v>874.245885231638</v>
      </c>
      <c r="O49" s="7" t="n">
        <f aca="false">SUMIFS(country_annual_ha!Q$2:Q$556,country_annual_ha!$D$2:$D$556,$A49,country_annual_ha!$E$2:$E$556,$B49)</f>
        <v>622.731570637889</v>
      </c>
      <c r="P49" s="7" t="n">
        <f aca="false">SUMIFS(country_annual_ha!R$2:R$556,country_annual_ha!$D$2:$D$556,$A49,country_annual_ha!$E$2:$E$556,$B49)</f>
        <v>1172.90014803542</v>
      </c>
      <c r="Q49" s="7" t="n">
        <f aca="false">SUMIFS(country_annual_ha!S$2:S$556,country_annual_ha!$D$2:$D$556,$A49,country_annual_ha!$E$2:$E$556,$B49)</f>
        <v>1803.79671631385</v>
      </c>
      <c r="R49" s="7" t="n">
        <f aca="false">SUMIFS(country_annual_ha!T$2:T$556,country_annual_ha!$D$2:$D$556,$A49,country_annual_ha!$E$2:$E$556,$B49)</f>
        <v>1827.4080195967</v>
      </c>
      <c r="S49" s="7" t="n">
        <f aca="false">SUMIFS(country_annual_ha!U$2:U$556,country_annual_ha!$D$2:$D$556,$A49,country_annual_ha!$E$2:$E$556,$B49)</f>
        <v>2194.08792474268</v>
      </c>
      <c r="T49" s="7" t="n">
        <f aca="false">SUMIFS(country_annual_ha!V$2:V$556,country_annual_ha!$D$2:$D$556,$A49,country_annual_ha!$E$2:$E$556,$B49)</f>
        <v>2184.24368746305</v>
      </c>
      <c r="U49" s="7" t="n">
        <f aca="false">SUMIFS(country_annual_ha!W$2:W$556,country_annual_ha!$D$2:$D$556,$A49,country_annual_ha!$E$2:$E$556,$B49)</f>
        <v>2437.42713858351</v>
      </c>
      <c r="V49" s="7" t="n">
        <f aca="false">SUMIFS(country_annual_ha!X$2:X$556,country_annual_ha!$D$2:$D$556,$A49,country_annual_ha!$E$2:$E$556,$B49)</f>
        <v>2379.90977749254</v>
      </c>
      <c r="W49" s="7" t="n">
        <f aca="false">SUMIFS(country_annual_ha!Y$2:Y$556,country_annual_ha!$D$2:$D$556,$A49,country_annual_ha!$E$2:$E$556,$B49)</f>
        <v>2857.39805495255</v>
      </c>
      <c r="X49" s="7" t="n">
        <f aca="false">SUMIFS(country_annual_ha!Z$2:Z$556,country_annual_ha!$D$2:$D$556,$A49,country_annual_ha!$E$2:$E$556,$B49)</f>
        <v>2762.30679128557</v>
      </c>
      <c r="Y49" s="7" t="n">
        <f aca="false">SUMIFS(country_annual_ha!AA$2:AA$556,country_annual_ha!$D$2:$D$556,$A49,country_annual_ha!$E$2:$E$556,$B49)</f>
        <v>2697.30446028674</v>
      </c>
      <c r="Z49" s="7" t="n">
        <f aca="false">SUMIFS(country_annual_ha!AB$2:AB$556,country_annual_ha!$D$2:$D$556,$A49,country_annual_ha!$E$2:$E$556,$B49)</f>
        <v>2875.97996538718</v>
      </c>
    </row>
    <row r="50" customFormat="false" ht="15" hidden="false" customHeight="false" outlineLevel="0" collapsed="false">
      <c r="A50" s="4" t="s">
        <v>63</v>
      </c>
      <c r="B50" s="4" t="s">
        <v>91</v>
      </c>
      <c r="C50" s="4" t="s">
        <v>64</v>
      </c>
      <c r="D50" s="7" t="n">
        <f aca="false">SUMIFS(country_annual_ha!F$2:F$556,country_annual_ha!$D$2:$D$556,$A50,country_annual_ha!$E$2:$E$556,$B50)</f>
        <v>5690.99984457536</v>
      </c>
      <c r="E50" s="7" t="n">
        <f aca="false">SUMIFS(country_annual_ha!G$2:G$556,country_annual_ha!$D$2:$D$556,$A50,country_annual_ha!$E$2:$E$556,$B50)</f>
        <v>7163.49656845436</v>
      </c>
      <c r="F50" s="7" t="n">
        <f aca="false">SUMIFS(country_annual_ha!H$2:H$556,country_annual_ha!$D$2:$D$556,$A50,country_annual_ha!$E$2:$E$556,$B50)</f>
        <v>4221.69702052372</v>
      </c>
      <c r="G50" s="7" t="n">
        <f aca="false">SUMIFS(country_annual_ha!I$2:I$556,country_annual_ha!$D$2:$D$556,$A50,country_annual_ha!$E$2:$E$556,$B50)</f>
        <v>4985.01208098924</v>
      </c>
      <c r="H50" s="7" t="n">
        <f aca="false">SUMIFS(country_annual_ha!J$2:J$556,country_annual_ha!$D$2:$D$556,$A50,country_annual_ha!$E$2:$E$556,$B50)</f>
        <v>8379.11914970375</v>
      </c>
      <c r="I50" s="7" t="n">
        <f aca="false">SUMIFS(country_annual_ha!K$2:K$556,country_annual_ha!$D$2:$D$556,$A50,country_annual_ha!$E$2:$E$556,$B50)</f>
        <v>10526.7208718301</v>
      </c>
      <c r="J50" s="7" t="n">
        <f aca="false">SUMIFS(country_annual_ha!L$2:L$556,country_annual_ha!$D$2:$D$556,$A50,country_annual_ha!$E$2:$E$556,$B50)</f>
        <v>9475.1785229908</v>
      </c>
      <c r="K50" s="7" t="n">
        <f aca="false">SUMIFS(country_annual_ha!M$2:M$556,country_annual_ha!$D$2:$D$556,$A50,country_annual_ha!$E$2:$E$556,$B50)</f>
        <v>19180.2502497849</v>
      </c>
      <c r="L50" s="7" t="n">
        <f aca="false">SUMIFS(country_annual_ha!N$2:N$556,country_annual_ha!$D$2:$D$556,$A50,country_annual_ha!$E$2:$E$556,$B50)</f>
        <v>17261.8011865457</v>
      </c>
      <c r="M50" s="7" t="n">
        <f aca="false">SUMIFS(country_annual_ha!O$2:O$556,country_annual_ha!$D$2:$D$556,$A50,country_annual_ha!$E$2:$E$556,$B50)</f>
        <v>9830.51362669036</v>
      </c>
      <c r="N50" s="7" t="n">
        <f aca="false">SUMIFS(country_annual_ha!P$2:P$556,country_annual_ha!$D$2:$D$556,$A50,country_annual_ha!$E$2:$E$556,$B50)</f>
        <v>19902.8896237986</v>
      </c>
      <c r="O50" s="7" t="n">
        <f aca="false">SUMIFS(country_annual_ha!Q$2:Q$556,country_annual_ha!$D$2:$D$556,$A50,country_annual_ha!$E$2:$E$556,$B50)</f>
        <v>37805.4731506398</v>
      </c>
      <c r="P50" s="7" t="n">
        <f aca="false">SUMIFS(country_annual_ha!R$2:R$556,country_annual_ha!$D$2:$D$556,$A50,country_annual_ha!$E$2:$E$556,$B50)</f>
        <v>28826.7093902179</v>
      </c>
      <c r="Q50" s="7" t="n">
        <f aca="false">SUMIFS(country_annual_ha!S$2:S$556,country_annual_ha!$D$2:$D$556,$A50,country_annual_ha!$E$2:$E$556,$B50)</f>
        <v>27839.6494644667</v>
      </c>
      <c r="R50" s="7" t="n">
        <f aca="false">SUMIFS(country_annual_ha!T$2:T$556,country_annual_ha!$D$2:$D$556,$A50,country_annual_ha!$E$2:$E$556,$B50)</f>
        <v>16421.2163546525</v>
      </c>
      <c r="S50" s="7" t="n">
        <f aca="false">SUMIFS(country_annual_ha!U$2:U$556,country_annual_ha!$D$2:$D$556,$A50,country_annual_ha!$E$2:$E$556,$B50)</f>
        <v>24557.6542142272</v>
      </c>
      <c r="T50" s="7" t="n">
        <f aca="false">SUMIFS(country_annual_ha!V$2:V$556,country_annual_ha!$D$2:$D$556,$A50,country_annual_ha!$E$2:$E$556,$B50)</f>
        <v>31994.5558050833</v>
      </c>
      <c r="U50" s="7" t="n">
        <f aca="false">SUMIFS(country_annual_ha!W$2:W$556,country_annual_ha!$D$2:$D$556,$A50,country_annual_ha!$E$2:$E$556,$B50)</f>
        <v>18711.711503093</v>
      </c>
      <c r="V50" s="7" t="n">
        <f aca="false">SUMIFS(country_annual_ha!X$2:X$556,country_annual_ha!$D$2:$D$556,$A50,country_annual_ha!$E$2:$E$556,$B50)</f>
        <v>18582.6343849205</v>
      </c>
      <c r="W50" s="7" t="n">
        <f aca="false">SUMIFS(country_annual_ha!Y$2:Y$556,country_annual_ha!$D$2:$D$556,$A50,country_annual_ha!$E$2:$E$556,$B50)</f>
        <v>15995.9238177929</v>
      </c>
      <c r="X50" s="7" t="n">
        <f aca="false">SUMIFS(country_annual_ha!Z$2:Z$556,country_annual_ha!$D$2:$D$556,$A50,country_annual_ha!$E$2:$E$556,$B50)</f>
        <v>17468.6792303911</v>
      </c>
      <c r="Y50" s="7" t="n">
        <f aca="false">SUMIFS(country_annual_ha!AA$2:AA$556,country_annual_ha!$D$2:$D$556,$A50,country_annual_ha!$E$2:$E$556,$B50)</f>
        <v>20578.117454781</v>
      </c>
      <c r="Z50" s="7" t="n">
        <f aca="false">SUMIFS(country_annual_ha!AB$2:AB$556,country_annual_ha!$D$2:$D$556,$A50,country_annual_ha!$E$2:$E$556,$B50)</f>
        <v>21580.346445108</v>
      </c>
    </row>
    <row r="51" customFormat="false" ht="15" hidden="false" customHeight="false" outlineLevel="0" collapsed="false">
      <c r="A51" s="4" t="s">
        <v>63</v>
      </c>
      <c r="B51" s="4" t="s">
        <v>92</v>
      </c>
      <c r="C51" s="4" t="s">
        <v>64</v>
      </c>
      <c r="D51" s="7" t="n">
        <f aca="false">SUMIFS(country_annual_ha!F$2:F$556,country_annual_ha!$D$2:$D$556,$A51,country_annual_ha!$E$2:$E$556,$B51)</f>
        <v>6656.13331156314</v>
      </c>
      <c r="E51" s="7" t="n">
        <f aca="false">SUMIFS(country_annual_ha!G$2:G$556,country_annual_ha!$D$2:$D$556,$A51,country_annual_ha!$E$2:$E$556,$B51)</f>
        <v>7747.65549831788</v>
      </c>
      <c r="F51" s="7" t="n">
        <f aca="false">SUMIFS(country_annual_ha!H$2:H$556,country_annual_ha!$D$2:$D$556,$A51,country_annual_ha!$E$2:$E$556,$B51)</f>
        <v>3852.57724038985</v>
      </c>
      <c r="G51" s="7" t="n">
        <f aca="false">SUMIFS(country_annual_ha!I$2:I$556,country_annual_ha!$D$2:$D$556,$A51,country_annual_ha!$E$2:$E$556,$B51)</f>
        <v>4306.66717870317</v>
      </c>
      <c r="H51" s="7" t="n">
        <f aca="false">SUMIFS(country_annual_ha!J$2:J$556,country_annual_ha!$D$2:$D$556,$A51,country_annual_ha!$E$2:$E$556,$B51)</f>
        <v>5195.06919667066</v>
      </c>
      <c r="I51" s="7" t="n">
        <f aca="false">SUMIFS(country_annual_ha!K$2:K$556,country_annual_ha!$D$2:$D$556,$A51,country_annual_ha!$E$2:$E$556,$B51)</f>
        <v>6722.53660321733</v>
      </c>
      <c r="J51" s="7" t="n">
        <f aca="false">SUMIFS(country_annual_ha!L$2:L$556,country_annual_ha!$D$2:$D$556,$A51,country_annual_ha!$E$2:$E$556,$B51)</f>
        <v>5009.57977636791</v>
      </c>
      <c r="K51" s="7" t="n">
        <f aca="false">SUMIFS(country_annual_ha!M$2:M$556,country_annual_ha!$D$2:$D$556,$A51,country_annual_ha!$E$2:$E$556,$B51)</f>
        <v>4394.38248717069</v>
      </c>
      <c r="L51" s="7" t="n">
        <f aca="false">SUMIFS(country_annual_ha!N$2:N$556,country_annual_ha!$D$2:$D$556,$A51,country_annual_ha!$E$2:$E$556,$B51)</f>
        <v>2875.68292702818</v>
      </c>
      <c r="M51" s="7" t="n">
        <f aca="false">SUMIFS(country_annual_ha!O$2:O$556,country_annual_ha!$D$2:$D$556,$A51,country_annual_ha!$E$2:$E$556,$B51)</f>
        <v>1700.11451923168</v>
      </c>
      <c r="N51" s="7" t="n">
        <f aca="false">SUMIFS(country_annual_ha!P$2:P$556,country_annual_ha!$D$2:$D$556,$A51,country_annual_ha!$E$2:$E$556,$B51)</f>
        <v>1262.26484842511</v>
      </c>
      <c r="O51" s="7" t="n">
        <f aca="false">SUMIFS(country_annual_ha!Q$2:Q$556,country_annual_ha!$D$2:$D$556,$A51,country_annual_ha!$E$2:$E$556,$B51)</f>
        <v>1421.5501225542</v>
      </c>
      <c r="P51" s="7" t="n">
        <f aca="false">SUMIFS(country_annual_ha!R$2:R$556,country_annual_ha!$D$2:$D$556,$A51,country_annual_ha!$E$2:$E$556,$B51)</f>
        <v>1125.07161729265</v>
      </c>
      <c r="Q51" s="7" t="n">
        <f aca="false">SUMIFS(country_annual_ha!S$2:S$556,country_annual_ha!$D$2:$D$556,$A51,country_annual_ha!$E$2:$E$556,$B51)</f>
        <v>2439.92363188516</v>
      </c>
      <c r="R51" s="7" t="n">
        <f aca="false">SUMIFS(country_annual_ha!T$2:T$556,country_annual_ha!$D$2:$D$556,$A51,country_annual_ha!$E$2:$E$556,$B51)</f>
        <v>264.898707497412</v>
      </c>
      <c r="S51" s="7" t="n">
        <f aca="false">SUMIFS(country_annual_ha!U$2:U$556,country_annual_ha!$D$2:$D$556,$A51,country_annual_ha!$E$2:$E$556,$B51)</f>
        <v>1105.68347169818</v>
      </c>
      <c r="T51" s="7" t="n">
        <f aca="false">SUMIFS(country_annual_ha!V$2:V$556,country_annual_ha!$D$2:$D$556,$A51,country_annual_ha!$E$2:$E$556,$B51)</f>
        <v>3589.06377774136</v>
      </c>
      <c r="U51" s="7" t="n">
        <f aca="false">SUMIFS(country_annual_ha!W$2:W$556,country_annual_ha!$D$2:$D$556,$A51,country_annual_ha!$E$2:$E$556,$B51)</f>
        <v>4515.01509752696</v>
      </c>
      <c r="V51" s="7" t="n">
        <f aca="false">SUMIFS(country_annual_ha!X$2:X$556,country_annual_ha!$D$2:$D$556,$A51,country_annual_ha!$E$2:$E$556,$B51)</f>
        <v>7922.63395141764</v>
      </c>
      <c r="W51" s="7" t="n">
        <f aca="false">SUMIFS(country_annual_ha!Y$2:Y$556,country_annual_ha!$D$2:$D$556,$A51,country_annual_ha!$E$2:$E$556,$B51)</f>
        <v>7048.33474968516</v>
      </c>
      <c r="X51" s="7" t="n">
        <f aca="false">SUMIFS(country_annual_ha!Z$2:Z$556,country_annual_ha!$D$2:$D$556,$A51,country_annual_ha!$E$2:$E$556,$B51)</f>
        <v>12783.025937753</v>
      </c>
      <c r="Y51" s="7" t="n">
        <f aca="false">SUMIFS(country_annual_ha!AA$2:AA$556,country_annual_ha!$D$2:$D$556,$A51,country_annual_ha!$E$2:$E$556,$B51)</f>
        <v>7797.37794856346</v>
      </c>
      <c r="Z51" s="7" t="n">
        <f aca="false">SUMIFS(country_annual_ha!AB$2:AB$556,country_annual_ha!$D$2:$D$556,$A51,country_annual_ha!$E$2:$E$556,$B51)</f>
        <v>15442.3857026696</v>
      </c>
    </row>
    <row r="52" customFormat="false" ht="15" hidden="false" customHeight="false" outlineLevel="0" collapsed="false">
      <c r="A52" s="4" t="s">
        <v>63</v>
      </c>
      <c r="B52" s="4" t="s">
        <v>93</v>
      </c>
      <c r="C52" s="4" t="s">
        <v>64</v>
      </c>
      <c r="D52" s="7" t="n">
        <f aca="false">SUMIFS(country_annual_ha!F$2:F$556,country_annual_ha!$D$2:$D$556,$A52,country_annual_ha!$E$2:$E$556,$B52)</f>
        <v>134.247233743717</v>
      </c>
      <c r="E52" s="7" t="n">
        <f aca="false">SUMIFS(country_annual_ha!G$2:G$556,country_annual_ha!$D$2:$D$556,$A52,country_annual_ha!$E$2:$E$556,$B52)</f>
        <v>102.125718990183</v>
      </c>
      <c r="F52" s="7" t="n">
        <f aca="false">SUMIFS(country_annual_ha!H$2:H$556,country_annual_ha!$D$2:$D$556,$A52,country_annual_ha!$E$2:$E$556,$B52)</f>
        <v>105.066492200088</v>
      </c>
      <c r="G52" s="7" t="n">
        <f aca="false">SUMIFS(country_annual_ha!I$2:I$556,country_annual_ha!$D$2:$D$556,$A52,country_annual_ha!$E$2:$E$556,$B52)</f>
        <v>133.58951719389</v>
      </c>
      <c r="H52" s="7" t="n">
        <f aca="false">SUMIFS(country_annual_ha!J$2:J$556,country_annual_ha!$D$2:$D$556,$A52,country_annual_ha!$E$2:$E$556,$B52)</f>
        <v>234.21941810768</v>
      </c>
      <c r="I52" s="7" t="n">
        <f aca="false">SUMIFS(country_annual_ha!K$2:K$556,country_annual_ha!$D$2:$D$556,$A52,country_annual_ha!$E$2:$E$556,$B52)</f>
        <v>150.730524750658</v>
      </c>
      <c r="J52" s="7" t="n">
        <f aca="false">SUMIFS(country_annual_ha!L$2:L$556,country_annual_ha!$D$2:$D$556,$A52,country_annual_ha!$E$2:$E$556,$B52)</f>
        <v>184.464788391985</v>
      </c>
      <c r="K52" s="7" t="n">
        <f aca="false">SUMIFS(country_annual_ha!M$2:M$556,country_annual_ha!$D$2:$D$556,$A52,country_annual_ha!$E$2:$E$556,$B52)</f>
        <v>146.514123670394</v>
      </c>
      <c r="L52" s="7" t="n">
        <f aca="false">SUMIFS(country_annual_ha!N$2:N$556,country_annual_ha!$D$2:$D$556,$A52,country_annual_ha!$E$2:$E$556,$B52)</f>
        <v>114.788437216425</v>
      </c>
      <c r="M52" s="7" t="n">
        <f aca="false">SUMIFS(country_annual_ha!O$2:O$556,country_annual_ha!$D$2:$D$556,$A52,country_annual_ha!$E$2:$E$556,$B52)</f>
        <v>155.208615202024</v>
      </c>
      <c r="N52" s="7" t="n">
        <f aca="false">SUMIFS(country_annual_ha!P$2:P$556,country_annual_ha!$D$2:$D$556,$A52,country_annual_ha!$E$2:$E$556,$B52)</f>
        <v>130.445490173357</v>
      </c>
      <c r="O52" s="7" t="n">
        <f aca="false">SUMIFS(country_annual_ha!Q$2:Q$556,country_annual_ha!$D$2:$D$556,$A52,country_annual_ha!$E$2:$E$556,$B52)</f>
        <v>310.011064474853</v>
      </c>
      <c r="P52" s="7" t="n">
        <f aca="false">SUMIFS(country_annual_ha!R$2:R$556,country_annual_ha!$D$2:$D$556,$A52,country_annual_ha!$E$2:$E$556,$B52)</f>
        <v>815.537170289137</v>
      </c>
      <c r="Q52" s="7" t="n">
        <f aca="false">SUMIFS(country_annual_ha!S$2:S$556,country_annual_ha!$D$2:$D$556,$A52,country_annual_ha!$E$2:$E$556,$B52)</f>
        <v>1105.50573624932</v>
      </c>
      <c r="R52" s="7" t="n">
        <f aca="false">SUMIFS(country_annual_ha!T$2:T$556,country_annual_ha!$D$2:$D$556,$A52,country_annual_ha!$E$2:$E$556,$B52)</f>
        <v>101.438665799227</v>
      </c>
      <c r="S52" s="7" t="n">
        <f aca="false">SUMIFS(country_annual_ha!U$2:U$556,country_annual_ha!$D$2:$D$556,$A52,country_annual_ha!$E$2:$E$556,$B52)</f>
        <v>430.655336138247</v>
      </c>
      <c r="T52" s="7" t="n">
        <f aca="false">SUMIFS(country_annual_ha!V$2:V$556,country_annual_ha!$D$2:$D$556,$A52,country_annual_ha!$E$2:$E$556,$B52)</f>
        <v>587.640705686013</v>
      </c>
      <c r="U52" s="7" t="n">
        <f aca="false">SUMIFS(country_annual_ha!W$2:W$556,country_annual_ha!$D$2:$D$556,$A52,country_annual_ha!$E$2:$E$556,$B52)</f>
        <v>454.049662242712</v>
      </c>
      <c r="V52" s="7" t="n">
        <f aca="false">SUMIFS(country_annual_ha!X$2:X$556,country_annual_ha!$D$2:$D$556,$A52,country_annual_ha!$E$2:$E$556,$B52)</f>
        <v>603.650996425162</v>
      </c>
      <c r="W52" s="7" t="n">
        <f aca="false">SUMIFS(country_annual_ha!Y$2:Y$556,country_annual_ha!$D$2:$D$556,$A52,country_annual_ha!$E$2:$E$556,$B52)</f>
        <v>706.25696668275</v>
      </c>
      <c r="X52" s="7" t="n">
        <f aca="false">SUMIFS(country_annual_ha!Z$2:Z$556,country_annual_ha!$D$2:$D$556,$A52,country_annual_ha!$E$2:$E$556,$B52)</f>
        <v>698.274260255901</v>
      </c>
      <c r="Y52" s="7" t="n">
        <f aca="false">SUMIFS(country_annual_ha!AA$2:AA$556,country_annual_ha!$D$2:$D$556,$A52,country_annual_ha!$E$2:$E$556,$B52)</f>
        <v>547.849567999108</v>
      </c>
      <c r="Z52" s="7" t="n">
        <f aca="false">SUMIFS(country_annual_ha!AB$2:AB$556,country_annual_ha!$D$2:$D$556,$A52,country_annual_ha!$E$2:$E$556,$B52)</f>
        <v>686.011667420754</v>
      </c>
    </row>
    <row r="53" customFormat="false" ht="15" hidden="false" customHeight="false" outlineLevel="0" collapsed="false">
      <c r="A53" s="4" t="s">
        <v>65</v>
      </c>
      <c r="B53" s="4" t="s">
        <v>91</v>
      </c>
      <c r="C53" s="4" t="s">
        <v>66</v>
      </c>
      <c r="D53" s="7" t="n">
        <f aca="false">SUMIFS(country_annual_ha!F$2:F$556,country_annual_ha!$D$2:$D$556,$A53,country_annual_ha!$E$2:$E$556,$B53)</f>
        <v>51372.9506632359</v>
      </c>
      <c r="E53" s="7" t="n">
        <f aca="false">SUMIFS(country_annual_ha!G$2:G$556,country_annual_ha!$D$2:$D$556,$A53,country_annual_ha!$E$2:$E$556,$B53)</f>
        <v>91030.8881776207</v>
      </c>
      <c r="F53" s="7" t="n">
        <f aca="false">SUMIFS(country_annual_ha!H$2:H$556,country_annual_ha!$D$2:$D$556,$A53,country_annual_ha!$E$2:$E$556,$B53)</f>
        <v>70060.3604291365</v>
      </c>
      <c r="G53" s="7" t="n">
        <f aca="false">SUMIFS(country_annual_ha!I$2:I$556,country_annual_ha!$D$2:$D$556,$A53,country_annual_ha!$E$2:$E$556,$B53)</f>
        <v>46812.0734626022</v>
      </c>
      <c r="H53" s="7" t="n">
        <f aca="false">SUMIFS(country_annual_ha!J$2:J$556,country_annual_ha!$D$2:$D$556,$A53,country_annual_ha!$E$2:$E$556,$B53)</f>
        <v>46682.1922497787</v>
      </c>
      <c r="I53" s="7" t="n">
        <f aca="false">SUMIFS(country_annual_ha!K$2:K$556,country_annual_ha!$D$2:$D$556,$A53,country_annual_ha!$E$2:$E$556,$B53)</f>
        <v>417460.752650698</v>
      </c>
      <c r="J53" s="7" t="n">
        <f aca="false">SUMIFS(country_annual_ha!L$2:L$556,country_annual_ha!$D$2:$D$556,$A53,country_annual_ha!$E$2:$E$556,$B53)</f>
        <v>462386.32980505</v>
      </c>
      <c r="K53" s="7" t="n">
        <f aca="false">SUMIFS(country_annual_ha!M$2:M$556,country_annual_ha!$D$2:$D$556,$A53,country_annual_ha!$E$2:$E$556,$B53)</f>
        <v>430190.766582221</v>
      </c>
      <c r="L53" s="7" t="n">
        <f aca="false">SUMIFS(country_annual_ha!N$2:N$556,country_annual_ha!$D$2:$D$556,$A53,country_annual_ha!$E$2:$E$556,$B53)</f>
        <v>681971.704216466</v>
      </c>
      <c r="M53" s="7" t="n">
        <f aca="false">SUMIFS(country_annual_ha!O$2:O$556,country_annual_ha!$D$2:$D$556,$A53,country_annual_ha!$E$2:$E$556,$B53)</f>
        <v>874115.851031262</v>
      </c>
      <c r="N53" s="7" t="n">
        <f aca="false">SUMIFS(country_annual_ha!P$2:P$556,country_annual_ha!$D$2:$D$556,$A53,country_annual_ha!$E$2:$E$556,$B53)</f>
        <v>442407.699316754</v>
      </c>
      <c r="O53" s="7" t="n">
        <f aca="false">SUMIFS(country_annual_ha!Q$2:Q$556,country_annual_ha!$D$2:$D$556,$A53,country_annual_ha!$E$2:$E$556,$B53)</f>
        <v>600232.253185613</v>
      </c>
      <c r="P53" s="7" t="n">
        <f aca="false">SUMIFS(country_annual_ha!R$2:R$556,country_annual_ha!$D$2:$D$556,$A53,country_annual_ha!$E$2:$E$556,$B53)</f>
        <v>472059.682854134</v>
      </c>
      <c r="Q53" s="7" t="n">
        <f aca="false">SUMIFS(country_annual_ha!S$2:S$556,country_annual_ha!$D$2:$D$556,$A53,country_annual_ha!$E$2:$E$556,$B53)</f>
        <v>457199.652168652</v>
      </c>
      <c r="R53" s="7" t="n">
        <f aca="false">SUMIFS(country_annual_ha!T$2:T$556,country_annual_ha!$D$2:$D$556,$A53,country_annual_ha!$E$2:$E$556,$B53)</f>
        <v>473188.412837529</v>
      </c>
      <c r="S53" s="7" t="n">
        <f aca="false">SUMIFS(country_annual_ha!U$2:U$556,country_annual_ha!$D$2:$D$556,$A53,country_annual_ha!$E$2:$E$556,$B53)</f>
        <v>507827.427001471</v>
      </c>
      <c r="T53" s="7" t="n">
        <f aca="false">SUMIFS(country_annual_ha!V$2:V$556,country_annual_ha!$D$2:$D$556,$A53,country_annual_ha!$E$2:$E$556,$B53)</f>
        <v>299955.385281162</v>
      </c>
      <c r="U53" s="7" t="n">
        <f aca="false">SUMIFS(country_annual_ha!W$2:W$556,country_annual_ha!$D$2:$D$556,$A53,country_annual_ha!$E$2:$E$556,$B53)</f>
        <v>181152.638007271</v>
      </c>
      <c r="V53" s="7" t="n">
        <f aca="false">SUMIFS(country_annual_ha!X$2:X$556,country_annual_ha!$D$2:$D$556,$A53,country_annual_ha!$E$2:$E$556,$B53)</f>
        <v>372026.311630712</v>
      </c>
      <c r="W53" s="7" t="n">
        <f aca="false">SUMIFS(country_annual_ha!Y$2:Y$556,country_annual_ha!$D$2:$D$556,$A53,country_annual_ha!$E$2:$E$556,$B53)</f>
        <v>469926.691531</v>
      </c>
      <c r="X53" s="7" t="n">
        <f aca="false">SUMIFS(country_annual_ha!Z$2:Z$556,country_annual_ha!$D$2:$D$556,$A53,country_annual_ha!$E$2:$E$556,$B53)</f>
        <v>668024.774750601</v>
      </c>
      <c r="Y53" s="7" t="n">
        <f aca="false">SUMIFS(country_annual_ha!AA$2:AA$556,country_annual_ha!$D$2:$D$556,$A53,country_annual_ha!$E$2:$E$556,$B53)</f>
        <v>466290.876548453</v>
      </c>
      <c r="Z53" s="7" t="n">
        <f aca="false">SUMIFS(country_annual_ha!AB$2:AB$556,country_annual_ha!$D$2:$D$556,$A53,country_annual_ha!$E$2:$E$556,$B53)</f>
        <v>535517.431231685</v>
      </c>
    </row>
    <row r="54" customFormat="false" ht="15" hidden="false" customHeight="false" outlineLevel="0" collapsed="false">
      <c r="A54" s="4" t="s">
        <v>65</v>
      </c>
      <c r="B54" s="4" t="s">
        <v>92</v>
      </c>
      <c r="C54" s="4" t="s">
        <v>66</v>
      </c>
      <c r="D54" s="7" t="n">
        <f aca="false">SUMIFS(country_annual_ha!F$2:F$556,country_annual_ha!$D$2:$D$556,$A54,country_annual_ha!$E$2:$E$556,$B54)</f>
        <v>57474.9948425563</v>
      </c>
      <c r="E54" s="7" t="n">
        <f aca="false">SUMIFS(country_annual_ha!G$2:G$556,country_annual_ha!$D$2:$D$556,$A54,country_annual_ha!$E$2:$E$556,$B54)</f>
        <v>52103.8462956828</v>
      </c>
      <c r="F54" s="7" t="n">
        <f aca="false">SUMIFS(country_annual_ha!H$2:H$556,country_annual_ha!$D$2:$D$556,$A54,country_annual_ha!$E$2:$E$556,$B54)</f>
        <v>64810.6554442786</v>
      </c>
      <c r="G54" s="7" t="n">
        <f aca="false">SUMIFS(country_annual_ha!I$2:I$556,country_annual_ha!$D$2:$D$556,$A54,country_annual_ha!$E$2:$E$556,$B54)</f>
        <v>77943.721758496</v>
      </c>
      <c r="H54" s="7" t="n">
        <f aca="false">SUMIFS(country_annual_ha!J$2:J$556,country_annual_ha!$D$2:$D$556,$A54,country_annual_ha!$E$2:$E$556,$B54)</f>
        <v>68076.3715101659</v>
      </c>
      <c r="I54" s="7" t="n">
        <f aca="false">SUMIFS(country_annual_ha!K$2:K$556,country_annual_ha!$D$2:$D$556,$A54,country_annual_ha!$E$2:$E$556,$B54)</f>
        <v>51181.0957112123</v>
      </c>
      <c r="J54" s="7" t="n">
        <f aca="false">SUMIFS(country_annual_ha!L$2:L$556,country_annual_ha!$D$2:$D$556,$A54,country_annual_ha!$E$2:$E$556,$B54)</f>
        <v>16421.214948332</v>
      </c>
      <c r="K54" s="7" t="n">
        <f aca="false">SUMIFS(country_annual_ha!M$2:M$556,country_annual_ha!$D$2:$D$556,$A54,country_annual_ha!$E$2:$E$556,$B54)</f>
        <v>9104.47930441979</v>
      </c>
      <c r="L54" s="7" t="n">
        <f aca="false">SUMIFS(country_annual_ha!N$2:N$556,country_annual_ha!$D$2:$D$556,$A54,country_annual_ha!$E$2:$E$556,$B54)</f>
        <v>11115.8926165078</v>
      </c>
      <c r="M54" s="7" t="n">
        <f aca="false">SUMIFS(country_annual_ha!O$2:O$556,country_annual_ha!$D$2:$D$556,$A54,country_annual_ha!$E$2:$E$556,$B54)</f>
        <v>12467.3441488394</v>
      </c>
      <c r="N54" s="7" t="n">
        <f aca="false">SUMIFS(country_annual_ha!P$2:P$556,country_annual_ha!$D$2:$D$556,$A54,country_annual_ha!$E$2:$E$556,$B54)</f>
        <v>6850.11027500613</v>
      </c>
      <c r="O54" s="7" t="n">
        <f aca="false">SUMIFS(country_annual_ha!Q$2:Q$556,country_annual_ha!$D$2:$D$556,$A54,country_annual_ha!$E$2:$E$556,$B54)</f>
        <v>19528.3737159185</v>
      </c>
      <c r="P54" s="7" t="n">
        <f aca="false">SUMIFS(country_annual_ha!R$2:R$556,country_annual_ha!$D$2:$D$556,$A54,country_annual_ha!$E$2:$E$556,$B54)</f>
        <v>19115.970233878</v>
      </c>
      <c r="Q54" s="7" t="n">
        <f aca="false">SUMIFS(country_annual_ha!S$2:S$556,country_annual_ha!$D$2:$D$556,$A54,country_annual_ha!$E$2:$E$556,$B54)</f>
        <v>36706.2127707994</v>
      </c>
      <c r="R54" s="7" t="n">
        <f aca="false">SUMIFS(country_annual_ha!T$2:T$556,country_annual_ha!$D$2:$D$556,$A54,country_annual_ha!$E$2:$E$556,$B54)</f>
        <v>34511.5424869177</v>
      </c>
      <c r="S54" s="7" t="n">
        <f aca="false">SUMIFS(country_annual_ha!U$2:U$556,country_annual_ha!$D$2:$D$556,$A54,country_annual_ha!$E$2:$E$556,$B54)</f>
        <v>55391.4561533717</v>
      </c>
      <c r="T54" s="7" t="n">
        <f aca="false">SUMIFS(country_annual_ha!V$2:V$556,country_annual_ha!$D$2:$D$556,$A54,country_annual_ha!$E$2:$E$556,$B54)</f>
        <v>69953.7832322169</v>
      </c>
      <c r="U54" s="7" t="n">
        <f aca="false">SUMIFS(country_annual_ha!W$2:W$556,country_annual_ha!$D$2:$D$556,$A54,country_annual_ha!$E$2:$E$556,$B54)</f>
        <v>71387.2082446655</v>
      </c>
      <c r="V54" s="7" t="n">
        <f aca="false">SUMIFS(country_annual_ha!X$2:X$556,country_annual_ha!$D$2:$D$556,$A54,country_annual_ha!$E$2:$E$556,$B54)</f>
        <v>65788.1656185857</v>
      </c>
      <c r="W54" s="7" t="n">
        <f aca="false">SUMIFS(country_annual_ha!Y$2:Y$556,country_annual_ha!$D$2:$D$556,$A54,country_annual_ha!$E$2:$E$556,$B54)</f>
        <v>56729.3611293141</v>
      </c>
      <c r="X54" s="7" t="n">
        <f aca="false">SUMIFS(country_annual_ha!Z$2:Z$556,country_annual_ha!$D$2:$D$556,$A54,country_annual_ha!$E$2:$E$556,$B54)</f>
        <v>62591.8206438801</v>
      </c>
      <c r="Y54" s="7" t="n">
        <f aca="false">SUMIFS(country_annual_ha!AA$2:AA$556,country_annual_ha!$D$2:$D$556,$A54,country_annual_ha!$E$2:$E$556,$B54)</f>
        <v>73858.05350092</v>
      </c>
      <c r="Z54" s="7" t="n">
        <f aca="false">SUMIFS(country_annual_ha!AB$2:AB$556,country_annual_ha!$D$2:$D$556,$A54,country_annual_ha!$E$2:$E$556,$B54)</f>
        <v>64167.1164430808</v>
      </c>
    </row>
    <row r="55" customFormat="false" ht="15" hidden="false" customHeight="false" outlineLevel="0" collapsed="false">
      <c r="A55" s="4" t="s">
        <v>65</v>
      </c>
      <c r="B55" s="4" t="s">
        <v>93</v>
      </c>
      <c r="C55" s="4" t="s">
        <v>66</v>
      </c>
      <c r="D55" s="7" t="n">
        <f aca="false">SUMIFS(country_annual_ha!F$2:F$556,country_annual_ha!$D$2:$D$556,$A55,country_annual_ha!$E$2:$E$556,$B55)</f>
        <v>99.9999999999976</v>
      </c>
      <c r="E55" s="7" t="n">
        <f aca="false">SUMIFS(country_annual_ha!G$2:G$556,country_annual_ha!$D$2:$D$556,$A55,country_annual_ha!$E$2:$E$556,$B55)</f>
        <v>99.9999999999976</v>
      </c>
      <c r="F55" s="7" t="n">
        <f aca="false">SUMIFS(country_annual_ha!H$2:H$556,country_annual_ha!$D$2:$D$556,$A55,country_annual_ha!$E$2:$E$556,$B55)</f>
        <v>100.000000000002</v>
      </c>
      <c r="G55" s="7" t="n">
        <f aca="false">SUMIFS(country_annual_ha!I$2:I$556,country_annual_ha!$D$2:$D$556,$A55,country_annual_ha!$E$2:$E$556,$B55)</f>
        <v>100.000000000002</v>
      </c>
      <c r="H55" s="7" t="n">
        <f aca="false">SUMIFS(country_annual_ha!J$2:J$556,country_annual_ha!$D$2:$D$556,$A55,country_annual_ha!$E$2:$E$556,$B55)</f>
        <v>100</v>
      </c>
      <c r="I55" s="7" t="n">
        <f aca="false">SUMIFS(country_annual_ha!K$2:K$556,country_annual_ha!$D$2:$D$556,$A55,country_annual_ha!$E$2:$E$556,$B55)</f>
        <v>99.9999999999976</v>
      </c>
      <c r="J55" s="7" t="n">
        <f aca="false">SUMIFS(country_annual_ha!L$2:L$556,country_annual_ha!$D$2:$D$556,$A55,country_annual_ha!$E$2:$E$556,$B55)</f>
        <v>99.9999999999976</v>
      </c>
      <c r="K55" s="7" t="n">
        <f aca="false">SUMIFS(country_annual_ha!M$2:M$556,country_annual_ha!$D$2:$D$556,$A55,country_annual_ha!$E$2:$E$556,$B55)</f>
        <v>66.6666666666667</v>
      </c>
      <c r="L55" s="7" t="n">
        <f aca="false">SUMIFS(country_annual_ha!N$2:N$556,country_annual_ha!$D$2:$D$556,$A55,country_annual_ha!$E$2:$E$556,$B55)</f>
        <v>33.3333333333333</v>
      </c>
      <c r="M55" s="7" t="n">
        <f aca="false">SUMIFS(country_annual_ha!O$2:O$556,country_annual_ha!$D$2:$D$556,$A55,country_annual_ha!$E$2:$E$556,$B55)</f>
        <v>68.6682125732422</v>
      </c>
      <c r="N55" s="7" t="n">
        <f aca="false">SUMIFS(country_annual_ha!P$2:P$556,country_annual_ha!$D$2:$D$556,$A55,country_annual_ha!$E$2:$E$556,$B55)</f>
        <v>13.9194323181152</v>
      </c>
      <c r="O55" s="7" t="n">
        <f aca="false">SUMIFS(country_annual_ha!Q$2:Q$556,country_annual_ha!$D$2:$D$556,$A55,country_annual_ha!$E$2:$E$556,$B55)</f>
        <v>81.7414285766602</v>
      </c>
      <c r="P55" s="7" t="n">
        <f aca="false">SUMIFS(country_annual_ha!R$2:R$556,country_annual_ha!$D$2:$D$556,$A55,country_annual_ha!$E$2:$E$556,$B55)</f>
        <v>108.732356286621</v>
      </c>
      <c r="Q55" s="7" t="n">
        <f aca="false">SUMIFS(country_annual_ha!S$2:S$556,country_annual_ha!$D$2:$D$556,$A55,country_annual_ha!$E$2:$E$556,$B55)</f>
        <v>214.619694036865</v>
      </c>
      <c r="R55" s="7" t="n">
        <f aca="false">SUMIFS(country_annual_ha!T$2:T$556,country_annual_ha!$D$2:$D$556,$A55,country_annual_ha!$E$2:$E$556,$B55)</f>
        <v>100.660541033936</v>
      </c>
      <c r="S55" s="7" t="n">
        <f aca="false">SUMIFS(country_annual_ha!U$2:U$556,country_annual_ha!$D$2:$D$556,$A55,country_annual_ha!$E$2:$E$556,$B55)</f>
        <v>180.556515234375</v>
      </c>
      <c r="T55" s="7" t="n">
        <f aca="false">SUMIFS(country_annual_ha!V$2:V$556,country_annual_ha!$D$2:$D$556,$A55,country_annual_ha!$E$2:$E$556,$B55)</f>
        <v>229.695620422364</v>
      </c>
      <c r="U55" s="7" t="n">
        <f aca="false">SUMIFS(country_annual_ha!W$2:W$556,country_annual_ha!$D$2:$D$556,$A55,country_annual_ha!$E$2:$E$556,$B55)</f>
        <v>93.054891772461</v>
      </c>
      <c r="V55" s="7" t="n">
        <f aca="false">SUMIFS(country_annual_ha!X$2:X$556,country_annual_ha!$D$2:$D$556,$A55,country_annual_ha!$E$2:$E$556,$B55)</f>
        <v>120.963632696533</v>
      </c>
      <c r="W55" s="7" t="n">
        <f aca="false">SUMIFS(country_annual_ha!Y$2:Y$556,country_annual_ha!$D$2:$D$556,$A55,country_annual_ha!$E$2:$E$556,$B55)</f>
        <v>116.119499176026</v>
      </c>
      <c r="X55" s="7" t="n">
        <f aca="false">SUMIFS(country_annual_ha!Z$2:Z$556,country_annual_ha!$D$2:$D$556,$A55,country_annual_ha!$E$2:$E$556,$B55)</f>
        <v>66.672015600586</v>
      </c>
      <c r="Y55" s="7" t="n">
        <f aca="false">SUMIFS(country_annual_ha!AA$2:AA$556,country_annual_ha!$D$2:$D$556,$A55,country_annual_ha!$E$2:$E$556,$B55)</f>
        <v>162.486101800537</v>
      </c>
      <c r="Z55" s="7" t="n">
        <f aca="false">SUMIFS(country_annual_ha!AB$2:AB$556,country_annual_ha!$D$2:$D$556,$A55,country_annual_ha!$E$2:$E$556,$B55)</f>
        <v>123.19130269165</v>
      </c>
    </row>
    <row r="56" customFormat="false" ht="15" hidden="false" customHeight="false" outlineLevel="0" collapsed="false">
      <c r="A56" s="4" t="s">
        <v>67</v>
      </c>
      <c r="B56" s="4" t="s">
        <v>91</v>
      </c>
      <c r="C56" s="4" t="s">
        <v>68</v>
      </c>
      <c r="D56" s="7" t="n">
        <f aca="false">SUMIFS(country_annual_ha!F$2:F$556,country_annual_ha!$D$2:$D$556,$A56,country_annual_ha!$E$2:$E$556,$B56)</f>
        <v>175705.285989146</v>
      </c>
      <c r="E56" s="7" t="n">
        <f aca="false">SUMIFS(country_annual_ha!G$2:G$556,country_annual_ha!$D$2:$D$556,$A56,country_annual_ha!$E$2:$E$556,$B56)</f>
        <v>226117.884228787</v>
      </c>
      <c r="F56" s="7" t="n">
        <f aca="false">SUMIFS(country_annual_ha!H$2:H$556,country_annual_ha!$D$2:$D$556,$A56,country_annual_ha!$E$2:$E$556,$B56)</f>
        <v>122318.102896138</v>
      </c>
      <c r="G56" s="7" t="n">
        <f aca="false">SUMIFS(country_annual_ha!I$2:I$556,country_annual_ha!$D$2:$D$556,$A56,country_annual_ha!$E$2:$E$556,$B56)</f>
        <v>69867.2763723038</v>
      </c>
      <c r="H56" s="7" t="n">
        <f aca="false">SUMIFS(country_annual_ha!J$2:J$556,country_annual_ha!$D$2:$D$556,$A56,country_annual_ha!$E$2:$E$556,$B56)</f>
        <v>132427.550091062</v>
      </c>
      <c r="I56" s="7" t="n">
        <f aca="false">SUMIFS(country_annual_ha!K$2:K$556,country_annual_ha!$D$2:$D$556,$A56,country_annual_ha!$E$2:$E$556,$B56)</f>
        <v>132771.566302604</v>
      </c>
      <c r="J56" s="7" t="n">
        <f aca="false">SUMIFS(country_annual_ha!L$2:L$556,country_annual_ha!$D$2:$D$556,$A56,country_annual_ha!$E$2:$E$556,$B56)</f>
        <v>122199.756295767</v>
      </c>
      <c r="K56" s="7" t="n">
        <f aca="false">SUMIFS(country_annual_ha!M$2:M$556,country_annual_ha!$D$2:$D$556,$A56,country_annual_ha!$E$2:$E$556,$B56)</f>
        <v>115913.065769036</v>
      </c>
      <c r="L56" s="7" t="n">
        <f aca="false">SUMIFS(country_annual_ha!N$2:N$556,country_annual_ha!$D$2:$D$556,$A56,country_annual_ha!$E$2:$E$556,$B56)</f>
        <v>172103.862532368</v>
      </c>
      <c r="M56" s="7" t="n">
        <f aca="false">SUMIFS(country_annual_ha!O$2:O$556,country_annual_ha!$D$2:$D$556,$A56,country_annual_ha!$E$2:$E$556,$B56)</f>
        <v>135276.603779057</v>
      </c>
      <c r="N56" s="7" t="n">
        <f aca="false">SUMIFS(country_annual_ha!P$2:P$556,country_annual_ha!$D$2:$D$556,$A56,country_annual_ha!$E$2:$E$556,$B56)</f>
        <v>165583.253254185</v>
      </c>
      <c r="O56" s="7" t="n">
        <f aca="false">SUMIFS(country_annual_ha!Q$2:Q$556,country_annual_ha!$D$2:$D$556,$A56,country_annual_ha!$E$2:$E$556,$B56)</f>
        <v>136949.415864834</v>
      </c>
      <c r="P56" s="7" t="n">
        <f aca="false">SUMIFS(country_annual_ha!R$2:R$556,country_annual_ha!$D$2:$D$556,$A56,country_annual_ha!$E$2:$E$556,$B56)</f>
        <v>276733.185051446</v>
      </c>
      <c r="Q56" s="7" t="n">
        <f aca="false">SUMIFS(country_annual_ha!S$2:S$556,country_annual_ha!$D$2:$D$556,$A56,country_annual_ha!$E$2:$E$556,$B56)</f>
        <v>498887.87743991</v>
      </c>
      <c r="R56" s="7" t="n">
        <f aca="false">SUMIFS(country_annual_ha!T$2:T$556,country_annual_ha!$D$2:$D$556,$A56,country_annual_ha!$E$2:$E$556,$B56)</f>
        <v>246775.208566901</v>
      </c>
      <c r="S56" s="7" t="n">
        <f aca="false">SUMIFS(country_annual_ha!U$2:U$556,country_annual_ha!$D$2:$D$556,$A56,country_annual_ha!$E$2:$E$556,$B56)</f>
        <v>403378.289452837</v>
      </c>
      <c r="T56" s="7" t="n">
        <f aca="false">SUMIFS(country_annual_ha!V$2:V$556,country_annual_ha!$D$2:$D$556,$A56,country_annual_ha!$E$2:$E$556,$B56)</f>
        <v>543102.25855309</v>
      </c>
      <c r="U56" s="7" t="n">
        <f aca="false">SUMIFS(country_annual_ha!W$2:W$556,country_annual_ha!$D$2:$D$556,$A56,country_annual_ha!$E$2:$E$556,$B56)</f>
        <v>230977.223480021</v>
      </c>
      <c r="V56" s="7" t="n">
        <f aca="false">SUMIFS(country_annual_ha!X$2:X$556,country_annual_ha!$D$2:$D$556,$A56,country_annual_ha!$E$2:$E$556,$B56)</f>
        <v>385231.422040335</v>
      </c>
      <c r="W56" s="7" t="n">
        <f aca="false">SUMIFS(country_annual_ha!Y$2:Y$556,country_annual_ha!$D$2:$D$556,$A56,country_annual_ha!$E$2:$E$556,$B56)</f>
        <v>360853.809931763</v>
      </c>
      <c r="X56" s="7" t="n">
        <f aca="false">SUMIFS(country_annual_ha!Z$2:Z$556,country_annual_ha!$D$2:$D$556,$A56,country_annual_ha!$E$2:$E$556,$B56)</f>
        <v>301349.33616492</v>
      </c>
      <c r="Y56" s="7" t="n">
        <f aca="false">SUMIFS(country_annual_ha!AA$2:AA$556,country_annual_ha!$D$2:$D$556,$A56,country_annual_ha!$E$2:$E$556,$B56)</f>
        <v>292257.611604756</v>
      </c>
      <c r="Z56" s="7" t="n">
        <f aca="false">SUMIFS(country_annual_ha!AB$2:AB$556,country_annual_ha!$D$2:$D$556,$A56,country_annual_ha!$E$2:$E$556,$B56)</f>
        <v>309058.095317539</v>
      </c>
    </row>
    <row r="57" customFormat="false" ht="15" hidden="false" customHeight="false" outlineLevel="0" collapsed="false">
      <c r="A57" s="4" t="s">
        <v>67</v>
      </c>
      <c r="B57" s="4" t="s">
        <v>92</v>
      </c>
      <c r="C57" s="4" t="s">
        <v>68</v>
      </c>
      <c r="D57" s="7" t="n">
        <f aca="false">SUMIFS(country_annual_ha!F$2:F$556,country_annual_ha!$D$2:$D$556,$A57,country_annual_ha!$E$2:$E$556,$B57)</f>
        <v>23369.3193116811</v>
      </c>
      <c r="E57" s="7" t="n">
        <f aca="false">SUMIFS(country_annual_ha!G$2:G$556,country_annual_ha!$D$2:$D$556,$A57,country_annual_ha!$E$2:$E$556,$B57)</f>
        <v>21762.7733630492</v>
      </c>
      <c r="F57" s="7" t="n">
        <f aca="false">SUMIFS(country_annual_ha!H$2:H$556,country_annual_ha!$D$2:$D$556,$A57,country_annual_ha!$E$2:$E$556,$B57)</f>
        <v>11824.8332473593</v>
      </c>
      <c r="G57" s="7" t="n">
        <f aca="false">SUMIFS(country_annual_ha!I$2:I$556,country_annual_ha!$D$2:$D$556,$A57,country_annual_ha!$E$2:$E$556,$B57)</f>
        <v>8171.23344869237</v>
      </c>
      <c r="H57" s="7" t="n">
        <f aca="false">SUMIFS(country_annual_ha!J$2:J$556,country_annual_ha!$D$2:$D$556,$A57,country_annual_ha!$E$2:$E$556,$B57)</f>
        <v>3764.00398562001</v>
      </c>
      <c r="I57" s="7" t="n">
        <f aca="false">SUMIFS(country_annual_ha!K$2:K$556,country_annual_ha!$D$2:$D$556,$A57,country_annual_ha!$E$2:$E$556,$B57)</f>
        <v>5782.46413645184</v>
      </c>
      <c r="J57" s="7" t="n">
        <f aca="false">SUMIFS(country_annual_ha!L$2:L$556,country_annual_ha!$D$2:$D$556,$A57,country_annual_ha!$E$2:$E$556,$B57)</f>
        <v>4683.57409323804</v>
      </c>
      <c r="K57" s="7" t="n">
        <f aca="false">SUMIFS(country_annual_ha!M$2:M$556,country_annual_ha!$D$2:$D$556,$A57,country_annual_ha!$E$2:$E$556,$B57)</f>
        <v>7628.48419804901</v>
      </c>
      <c r="L57" s="7" t="n">
        <f aca="false">SUMIFS(country_annual_ha!N$2:N$556,country_annual_ha!$D$2:$D$556,$A57,country_annual_ha!$E$2:$E$556,$B57)</f>
        <v>1939.04017203304</v>
      </c>
      <c r="M57" s="7" t="n">
        <f aca="false">SUMIFS(country_annual_ha!O$2:O$556,country_annual_ha!$D$2:$D$556,$A57,country_annual_ha!$E$2:$E$556,$B57)</f>
        <v>8100.46677641706</v>
      </c>
      <c r="N57" s="7" t="n">
        <f aca="false">SUMIFS(country_annual_ha!P$2:P$556,country_annual_ha!$D$2:$D$556,$A57,country_annual_ha!$E$2:$E$556,$B57)</f>
        <v>7610.8005723933</v>
      </c>
      <c r="O57" s="7" t="n">
        <f aca="false">SUMIFS(country_annual_ha!Q$2:Q$556,country_annual_ha!$D$2:$D$556,$A57,country_annual_ha!$E$2:$E$556,$B57)</f>
        <v>7948.98453382729</v>
      </c>
      <c r="P57" s="7" t="n">
        <f aca="false">SUMIFS(country_annual_ha!R$2:R$556,country_annual_ha!$D$2:$D$556,$A57,country_annual_ha!$E$2:$E$556,$B57)</f>
        <v>6547.83729755991</v>
      </c>
      <c r="Q57" s="7" t="n">
        <f aca="false">SUMIFS(country_annual_ha!S$2:S$556,country_annual_ha!$D$2:$D$556,$A57,country_annual_ha!$E$2:$E$556,$B57)</f>
        <v>7954.03252183365</v>
      </c>
      <c r="R57" s="7" t="n">
        <f aca="false">SUMIFS(country_annual_ha!T$2:T$556,country_annual_ha!$D$2:$D$556,$A57,country_annual_ha!$E$2:$E$556,$B57)</f>
        <v>5256.04505608787</v>
      </c>
      <c r="S57" s="7" t="n">
        <f aca="false">SUMIFS(country_annual_ha!U$2:U$556,country_annual_ha!$D$2:$D$556,$A57,country_annual_ha!$E$2:$E$556,$B57)</f>
        <v>11801.5601083698</v>
      </c>
      <c r="T57" s="7" t="n">
        <f aca="false">SUMIFS(country_annual_ha!V$2:V$556,country_annual_ha!$D$2:$D$556,$A57,country_annual_ha!$E$2:$E$556,$B57)</f>
        <v>55795.7345921739</v>
      </c>
      <c r="U57" s="7" t="n">
        <f aca="false">SUMIFS(country_annual_ha!W$2:W$556,country_annual_ha!$D$2:$D$556,$A57,country_annual_ha!$E$2:$E$556,$B57)</f>
        <v>70178.250940874</v>
      </c>
      <c r="V57" s="7" t="n">
        <f aca="false">SUMIFS(country_annual_ha!X$2:X$556,country_annual_ha!$D$2:$D$556,$A57,country_annual_ha!$E$2:$E$556,$B57)</f>
        <v>35369.7167861494</v>
      </c>
      <c r="W57" s="7" t="n">
        <f aca="false">SUMIFS(country_annual_ha!Y$2:Y$556,country_annual_ha!$D$2:$D$556,$A57,country_annual_ha!$E$2:$E$556,$B57)</f>
        <v>22971.7916841538</v>
      </c>
      <c r="X57" s="7" t="n">
        <f aca="false">SUMIFS(country_annual_ha!Z$2:Z$556,country_annual_ha!$D$2:$D$556,$A57,country_annual_ha!$E$2:$E$556,$B57)</f>
        <v>23183.2630758088</v>
      </c>
      <c r="Y57" s="7" t="n">
        <f aca="false">SUMIFS(country_annual_ha!AA$2:AA$556,country_annual_ha!$D$2:$D$556,$A57,country_annual_ha!$E$2:$E$556,$B57)</f>
        <v>27331.5097818906</v>
      </c>
      <c r="Z57" s="7" t="n">
        <f aca="false">SUMIFS(country_annual_ha!AB$2:AB$556,country_annual_ha!$D$2:$D$556,$A57,country_annual_ha!$E$2:$E$556,$B57)</f>
        <v>24554.1073492245</v>
      </c>
    </row>
    <row r="58" customFormat="false" ht="15" hidden="false" customHeight="false" outlineLevel="0" collapsed="false">
      <c r="A58" s="4" t="s">
        <v>67</v>
      </c>
      <c r="B58" s="4" t="s">
        <v>93</v>
      </c>
      <c r="C58" s="4" t="s">
        <v>68</v>
      </c>
      <c r="D58" s="7" t="n">
        <f aca="false">SUMIFS(country_annual_ha!F$2:F$556,country_annual_ha!$D$2:$D$556,$A58,country_annual_ha!$E$2:$E$556,$B58)</f>
        <v>1262.55660321844</v>
      </c>
      <c r="E58" s="7" t="n">
        <f aca="false">SUMIFS(country_annual_ha!G$2:G$556,country_annual_ha!$D$2:$D$556,$A58,country_annual_ha!$E$2:$E$556,$B58)</f>
        <v>1689.52178726065</v>
      </c>
      <c r="F58" s="7" t="n">
        <f aca="false">SUMIFS(country_annual_ha!H$2:H$556,country_annual_ha!$D$2:$D$556,$A58,country_annual_ha!$E$2:$E$556,$B58)</f>
        <v>882.4771869445</v>
      </c>
      <c r="G58" s="7" t="n">
        <f aca="false">SUMIFS(country_annual_ha!I$2:I$556,country_annual_ha!$D$2:$D$556,$A58,country_annual_ha!$E$2:$E$556,$B58)</f>
        <v>774.123858578033</v>
      </c>
      <c r="H58" s="7" t="n">
        <f aca="false">SUMIFS(country_annual_ha!J$2:J$556,country_annual_ha!$D$2:$D$556,$A58,country_annual_ha!$E$2:$E$556,$B58)</f>
        <v>1523.11544825427</v>
      </c>
      <c r="I58" s="7" t="n">
        <f aca="false">SUMIFS(country_annual_ha!K$2:K$556,country_annual_ha!$D$2:$D$556,$A58,country_annual_ha!$E$2:$E$556,$B58)</f>
        <v>1212.84171960066</v>
      </c>
      <c r="J58" s="7" t="n">
        <f aca="false">SUMIFS(country_annual_ha!L$2:L$556,country_annual_ha!$D$2:$D$556,$A58,country_annual_ha!$E$2:$E$556,$B58)</f>
        <v>1154.92397431521</v>
      </c>
      <c r="K58" s="7" t="n">
        <f aca="false">SUMIFS(country_annual_ha!M$2:M$556,country_annual_ha!$D$2:$D$556,$A58,country_annual_ha!$E$2:$E$556,$B58)</f>
        <v>1464.43625333508</v>
      </c>
      <c r="L58" s="7" t="n">
        <f aca="false">SUMIFS(country_annual_ha!N$2:N$556,country_annual_ha!$D$2:$D$556,$A58,country_annual_ha!$E$2:$E$556,$B58)</f>
        <v>2115.86214424626</v>
      </c>
      <c r="M58" s="7" t="n">
        <f aca="false">SUMIFS(country_annual_ha!O$2:O$556,country_annual_ha!$D$2:$D$556,$A58,country_annual_ha!$E$2:$E$556,$B58)</f>
        <v>2175.11047461288</v>
      </c>
      <c r="N58" s="7" t="n">
        <f aca="false">SUMIFS(country_annual_ha!P$2:P$556,country_annual_ha!$D$2:$D$556,$A58,country_annual_ha!$E$2:$E$556,$B58)</f>
        <v>1045.21062251845</v>
      </c>
      <c r="O58" s="7" t="n">
        <f aca="false">SUMIFS(country_annual_ha!Q$2:Q$556,country_annual_ha!$D$2:$D$556,$A58,country_annual_ha!$E$2:$E$556,$B58)</f>
        <v>1720.94831975793</v>
      </c>
      <c r="P58" s="7" t="n">
        <f aca="false">SUMIFS(country_annual_ha!R$2:R$556,country_annual_ha!$D$2:$D$556,$A58,country_annual_ha!$E$2:$E$556,$B58)</f>
        <v>2376.59934213689</v>
      </c>
      <c r="Q58" s="7" t="n">
        <f aca="false">SUMIFS(country_annual_ha!S$2:S$556,country_annual_ha!$D$2:$D$556,$A58,country_annual_ha!$E$2:$E$556,$B58)</f>
        <v>2630.01001747706</v>
      </c>
      <c r="R58" s="7" t="n">
        <f aca="false">SUMIFS(country_annual_ha!T$2:T$556,country_annual_ha!$D$2:$D$556,$A58,country_annual_ha!$E$2:$E$556,$B58)</f>
        <v>2454.84259946007</v>
      </c>
      <c r="S58" s="7" t="n">
        <f aca="false">SUMIFS(country_annual_ha!U$2:U$556,country_annual_ha!$D$2:$D$556,$A58,country_annual_ha!$E$2:$E$556,$B58)</f>
        <v>2586.63548006837</v>
      </c>
      <c r="T58" s="7" t="n">
        <f aca="false">SUMIFS(country_annual_ha!V$2:V$556,country_annual_ha!$D$2:$D$556,$A58,country_annual_ha!$E$2:$E$556,$B58)</f>
        <v>2500.2833254769</v>
      </c>
      <c r="U58" s="7" t="n">
        <f aca="false">SUMIFS(country_annual_ha!W$2:W$556,country_annual_ha!$D$2:$D$556,$A58,country_annual_ha!$E$2:$E$556,$B58)</f>
        <v>3068.04469249905</v>
      </c>
      <c r="V58" s="7" t="n">
        <f aca="false">SUMIFS(country_annual_ha!X$2:X$556,country_annual_ha!$D$2:$D$556,$A58,country_annual_ha!$E$2:$E$556,$B58)</f>
        <v>2244.98892555023</v>
      </c>
      <c r="W58" s="7" t="n">
        <f aca="false">SUMIFS(country_annual_ha!Y$2:Y$556,country_annual_ha!$D$2:$D$556,$A58,country_annual_ha!$E$2:$E$556,$B58)</f>
        <v>2602.19259646204</v>
      </c>
      <c r="X58" s="7" t="n">
        <f aca="false">SUMIFS(country_annual_ha!Z$2:Z$556,country_annual_ha!$D$2:$D$556,$A58,country_annual_ha!$E$2:$E$556,$B58)</f>
        <v>2758.28584690571</v>
      </c>
      <c r="Y58" s="7" t="n">
        <f aca="false">SUMIFS(country_annual_ha!AA$2:AA$556,country_annual_ha!$D$2:$D$556,$A58,country_annual_ha!$E$2:$E$556,$B58)</f>
        <v>3292.58150482511</v>
      </c>
      <c r="Z58" s="7" t="n">
        <f aca="false">SUMIFS(country_annual_ha!AB$2:AB$556,country_annual_ha!$D$2:$D$556,$A58,country_annual_ha!$E$2:$E$556,$B58)</f>
        <v>2797.11937512609</v>
      </c>
    </row>
    <row r="59" customFormat="false" ht="15" hidden="false" customHeight="false" outlineLevel="0" collapsed="false">
      <c r="A59" s="4" t="s">
        <v>69</v>
      </c>
      <c r="B59" s="4" t="s">
        <v>91</v>
      </c>
      <c r="C59" s="4" t="s">
        <v>70</v>
      </c>
      <c r="D59" s="7" t="n">
        <f aca="false">SUMIFS(country_annual_ha!F$2:F$556,country_annual_ha!$D$2:$D$556,$A59,country_annual_ha!$E$2:$E$556,$B59)</f>
        <v>1997.24173403628</v>
      </c>
      <c r="E59" s="7" t="n">
        <f aca="false">SUMIFS(country_annual_ha!G$2:G$556,country_annual_ha!$D$2:$D$556,$A59,country_annual_ha!$E$2:$E$556,$B59)</f>
        <v>696.672200858898</v>
      </c>
      <c r="F59" s="7" t="n">
        <f aca="false">SUMIFS(country_annual_ha!H$2:H$556,country_annual_ha!$D$2:$D$556,$A59,country_annual_ha!$E$2:$E$556,$B59)</f>
        <v>766.694214609782</v>
      </c>
      <c r="G59" s="7" t="n">
        <f aca="false">SUMIFS(country_annual_ha!I$2:I$556,country_annual_ha!$D$2:$D$556,$A59,country_annual_ha!$E$2:$E$556,$B59)</f>
        <v>649.855469309866</v>
      </c>
      <c r="H59" s="7" t="n">
        <f aca="false">SUMIFS(country_annual_ha!J$2:J$556,country_annual_ha!$D$2:$D$556,$A59,country_annual_ha!$E$2:$E$556,$B59)</f>
        <v>1460.73315776039</v>
      </c>
      <c r="I59" s="7" t="n">
        <f aca="false">SUMIFS(country_annual_ha!K$2:K$556,country_annual_ha!$D$2:$D$556,$A59,country_annual_ha!$E$2:$E$556,$B59)</f>
        <v>5162.25210322392</v>
      </c>
      <c r="J59" s="7" t="n">
        <f aca="false">SUMIFS(country_annual_ha!L$2:L$556,country_annual_ha!$D$2:$D$556,$A59,country_annual_ha!$E$2:$E$556,$B59)</f>
        <v>2107.33730125072</v>
      </c>
      <c r="K59" s="7" t="n">
        <f aca="false">SUMIFS(country_annual_ha!M$2:M$556,country_annual_ha!$D$2:$D$556,$A59,country_annual_ha!$E$2:$E$556,$B59)</f>
        <v>1128.66867145563</v>
      </c>
      <c r="L59" s="7" t="n">
        <f aca="false">SUMIFS(country_annual_ha!N$2:N$556,country_annual_ha!$D$2:$D$556,$A59,country_annual_ha!$E$2:$E$556,$B59)</f>
        <v>1230.4674365737</v>
      </c>
      <c r="M59" s="7" t="n">
        <f aca="false">SUMIFS(country_annual_ha!O$2:O$556,country_annual_ha!$D$2:$D$556,$A59,country_annual_ha!$E$2:$E$556,$B59)</f>
        <v>1424.2292655457</v>
      </c>
      <c r="N59" s="7" t="n">
        <f aca="false">SUMIFS(country_annual_ha!P$2:P$556,country_annual_ha!$D$2:$D$556,$A59,country_annual_ha!$E$2:$E$556,$B59)</f>
        <v>1601.09780971541</v>
      </c>
      <c r="O59" s="7" t="n">
        <f aca="false">SUMIFS(country_annual_ha!Q$2:Q$556,country_annual_ha!$D$2:$D$556,$A59,country_annual_ha!$E$2:$E$556,$B59)</f>
        <v>3116.6775699067</v>
      </c>
      <c r="P59" s="7" t="n">
        <f aca="false">SUMIFS(country_annual_ha!R$2:R$556,country_annual_ha!$D$2:$D$556,$A59,country_annual_ha!$E$2:$E$556,$B59)</f>
        <v>3274.45876797339</v>
      </c>
      <c r="Q59" s="7" t="n">
        <f aca="false">SUMIFS(country_annual_ha!S$2:S$556,country_annual_ha!$D$2:$D$556,$A59,country_annual_ha!$E$2:$E$556,$B59)</f>
        <v>4419.18891001298</v>
      </c>
      <c r="R59" s="7" t="n">
        <f aca="false">SUMIFS(country_annual_ha!T$2:T$556,country_annual_ha!$D$2:$D$556,$A59,country_annual_ha!$E$2:$E$556,$B59)</f>
        <v>2592.47800431653</v>
      </c>
      <c r="S59" s="7" t="n">
        <f aca="false">SUMIFS(country_annual_ha!U$2:U$556,country_annual_ha!$D$2:$D$556,$A59,country_annual_ha!$E$2:$E$556,$B59)</f>
        <v>4488.17736116852</v>
      </c>
      <c r="T59" s="7" t="n">
        <f aca="false">SUMIFS(country_annual_ha!V$2:V$556,country_annual_ha!$D$2:$D$556,$A59,country_annual_ha!$E$2:$E$556,$B59)</f>
        <v>2822.32958225223</v>
      </c>
      <c r="U59" s="7" t="n">
        <f aca="false">SUMIFS(country_annual_ha!W$2:W$556,country_annual_ha!$D$2:$D$556,$A59,country_annual_ha!$E$2:$E$556,$B59)</f>
        <v>1829.59283410793</v>
      </c>
      <c r="V59" s="7" t="n">
        <f aca="false">SUMIFS(country_annual_ha!X$2:X$556,country_annual_ha!$D$2:$D$556,$A59,country_annual_ha!$E$2:$E$556,$B59)</f>
        <v>1315.18326359242</v>
      </c>
      <c r="W59" s="7" t="n">
        <f aca="false">SUMIFS(country_annual_ha!Y$2:Y$556,country_annual_ha!$D$2:$D$556,$A59,country_annual_ha!$E$2:$E$556,$B59)</f>
        <v>1100.43907772273</v>
      </c>
      <c r="X59" s="7" t="n">
        <f aca="false">SUMIFS(country_annual_ha!Z$2:Z$556,country_annual_ha!$D$2:$D$556,$A59,country_annual_ha!$E$2:$E$556,$B59)</f>
        <v>1342.4800178143</v>
      </c>
      <c r="Y59" s="7" t="n">
        <f aca="false">SUMIFS(country_annual_ha!AA$2:AA$556,country_annual_ha!$D$2:$D$556,$A59,country_annual_ha!$E$2:$E$556,$B59)</f>
        <v>901.519416123842</v>
      </c>
      <c r="Z59" s="7" t="n">
        <f aca="false">SUMIFS(country_annual_ha!AB$2:AB$556,country_annual_ha!$D$2:$D$556,$A59,country_annual_ha!$E$2:$E$556,$B59)</f>
        <v>683.238795417074</v>
      </c>
    </row>
    <row r="60" customFormat="false" ht="15" hidden="false" customHeight="false" outlineLevel="0" collapsed="false">
      <c r="A60" s="4" t="s">
        <v>69</v>
      </c>
      <c r="B60" s="4" t="s">
        <v>92</v>
      </c>
      <c r="C60" s="4" t="s">
        <v>70</v>
      </c>
      <c r="D60" s="7" t="n">
        <f aca="false">SUMIFS(country_annual_ha!F$2:F$556,country_annual_ha!$D$2:$D$556,$A60,country_annual_ha!$E$2:$E$556,$B60)</f>
        <v>5132.63024154276</v>
      </c>
      <c r="E60" s="7" t="n">
        <f aca="false">SUMIFS(country_annual_ha!G$2:G$556,country_annual_ha!$D$2:$D$556,$A60,country_annual_ha!$E$2:$E$556,$B60)</f>
        <v>3261.33741792818</v>
      </c>
      <c r="F60" s="7" t="n">
        <f aca="false">SUMIFS(country_annual_ha!H$2:H$556,country_annual_ha!$D$2:$D$556,$A60,country_annual_ha!$E$2:$E$556,$B60)</f>
        <v>4733.51169300664</v>
      </c>
      <c r="G60" s="7" t="n">
        <f aca="false">SUMIFS(country_annual_ha!I$2:I$556,country_annual_ha!$D$2:$D$556,$A60,country_annual_ha!$E$2:$E$556,$B60)</f>
        <v>6950.85822562087</v>
      </c>
      <c r="H60" s="7" t="n">
        <f aca="false">SUMIFS(country_annual_ha!J$2:J$556,country_annual_ha!$D$2:$D$556,$A60,country_annual_ha!$E$2:$E$556,$B60)</f>
        <v>4736.7765691794</v>
      </c>
      <c r="I60" s="7" t="n">
        <f aca="false">SUMIFS(country_annual_ha!K$2:K$556,country_annual_ha!$D$2:$D$556,$A60,country_annual_ha!$E$2:$E$556,$B60)</f>
        <v>2936.03260293557</v>
      </c>
      <c r="J60" s="7" t="n">
        <f aca="false">SUMIFS(country_annual_ha!L$2:L$556,country_annual_ha!$D$2:$D$556,$A60,country_annual_ha!$E$2:$E$556,$B60)</f>
        <v>4970.56179818434</v>
      </c>
      <c r="K60" s="7" t="n">
        <f aca="false">SUMIFS(country_annual_ha!M$2:M$556,country_annual_ha!$D$2:$D$556,$A60,country_annual_ha!$E$2:$E$556,$B60)</f>
        <v>5062.44891774043</v>
      </c>
      <c r="L60" s="7" t="n">
        <f aca="false">SUMIFS(country_annual_ha!N$2:N$556,country_annual_ha!$D$2:$D$556,$A60,country_annual_ha!$E$2:$E$556,$B60)</f>
        <v>4648.19963645922</v>
      </c>
      <c r="M60" s="7" t="n">
        <f aca="false">SUMIFS(country_annual_ha!O$2:O$556,country_annual_ha!$D$2:$D$556,$A60,country_annual_ha!$E$2:$E$556,$B60)</f>
        <v>3459.88420215483</v>
      </c>
      <c r="N60" s="7" t="n">
        <f aca="false">SUMIFS(country_annual_ha!P$2:P$556,country_annual_ha!$D$2:$D$556,$A60,country_annual_ha!$E$2:$E$556,$B60)</f>
        <v>4285.80921665056</v>
      </c>
      <c r="O60" s="7" t="n">
        <f aca="false">SUMIFS(country_annual_ha!Q$2:Q$556,country_annual_ha!$D$2:$D$556,$A60,country_annual_ha!$E$2:$E$556,$B60)</f>
        <v>3251.28399942016</v>
      </c>
      <c r="P60" s="7" t="n">
        <f aca="false">SUMIFS(country_annual_ha!R$2:R$556,country_annual_ha!$D$2:$D$556,$A60,country_annual_ha!$E$2:$E$556,$B60)</f>
        <v>4105.83517896147</v>
      </c>
      <c r="Q60" s="7" t="n">
        <f aca="false">SUMIFS(country_annual_ha!S$2:S$556,country_annual_ha!$D$2:$D$556,$A60,country_annual_ha!$E$2:$E$556,$B60)</f>
        <v>5051.1476455277</v>
      </c>
      <c r="R60" s="7" t="n">
        <f aca="false">SUMIFS(country_annual_ha!T$2:T$556,country_annual_ha!$D$2:$D$556,$A60,country_annual_ha!$E$2:$E$556,$B60)</f>
        <v>4378.78093265153</v>
      </c>
      <c r="S60" s="7" t="n">
        <f aca="false">SUMIFS(country_annual_ha!U$2:U$556,country_annual_ha!$D$2:$D$556,$A60,country_annual_ha!$E$2:$E$556,$B60)</f>
        <v>5613.70061385049</v>
      </c>
      <c r="T60" s="7" t="n">
        <f aca="false">SUMIFS(country_annual_ha!V$2:V$556,country_annual_ha!$D$2:$D$556,$A60,country_annual_ha!$E$2:$E$556,$B60)</f>
        <v>7560.85437744535</v>
      </c>
      <c r="U60" s="7" t="n">
        <f aca="false">SUMIFS(country_annual_ha!W$2:W$556,country_annual_ha!$D$2:$D$556,$A60,country_annual_ha!$E$2:$E$556,$B60)</f>
        <v>6793.3541080211</v>
      </c>
      <c r="V60" s="7" t="n">
        <f aca="false">SUMIFS(country_annual_ha!X$2:X$556,country_annual_ha!$D$2:$D$556,$A60,country_annual_ha!$E$2:$E$556,$B60)</f>
        <v>5522.91500021378</v>
      </c>
      <c r="W60" s="7" t="n">
        <f aca="false">SUMIFS(country_annual_ha!Y$2:Y$556,country_annual_ha!$D$2:$D$556,$A60,country_annual_ha!$E$2:$E$556,$B60)</f>
        <v>6266.49554466981</v>
      </c>
      <c r="X60" s="7" t="n">
        <f aca="false">SUMIFS(country_annual_ha!Z$2:Z$556,country_annual_ha!$D$2:$D$556,$A60,country_annual_ha!$E$2:$E$556,$B60)</f>
        <v>4918.33467618408</v>
      </c>
      <c r="Y60" s="7" t="n">
        <f aca="false">SUMIFS(country_annual_ha!AA$2:AA$556,country_annual_ha!$D$2:$D$556,$A60,country_annual_ha!$E$2:$E$556,$B60)</f>
        <v>3589.83234817205</v>
      </c>
      <c r="Z60" s="7" t="n">
        <f aca="false">SUMIFS(country_annual_ha!AB$2:AB$556,country_annual_ha!$D$2:$D$556,$A60,country_annual_ha!$E$2:$E$556,$B60)</f>
        <v>3050.44644593331</v>
      </c>
    </row>
    <row r="61" customFormat="false" ht="15" hidden="false" customHeight="false" outlineLevel="0" collapsed="false">
      <c r="A61" s="4" t="s">
        <v>69</v>
      </c>
      <c r="B61" s="4" t="s">
        <v>93</v>
      </c>
      <c r="C61" s="4" t="s">
        <v>70</v>
      </c>
      <c r="D61" s="7" t="n">
        <f aca="false">SUMIFS(country_annual_ha!F$2:F$556,country_annual_ha!$D$2:$D$556,$A61,country_annual_ha!$E$2:$E$556,$B61)</f>
        <v>0</v>
      </c>
      <c r="E61" s="7" t="n">
        <f aca="false">SUMIFS(country_annual_ha!G$2:G$556,country_annual_ha!$D$2:$D$556,$A61,country_annual_ha!$E$2:$E$556,$B61)</f>
        <v>0</v>
      </c>
      <c r="F61" s="7" t="n">
        <f aca="false">SUMIFS(country_annual_ha!H$2:H$556,country_annual_ha!$D$2:$D$556,$A61,country_annual_ha!$E$2:$E$556,$B61)</f>
        <v>0</v>
      </c>
      <c r="G61" s="7" t="n">
        <f aca="false">SUMIFS(country_annual_ha!I$2:I$556,country_annual_ha!$D$2:$D$556,$A61,country_annual_ha!$E$2:$E$556,$B61)</f>
        <v>0</v>
      </c>
      <c r="H61" s="7" t="n">
        <f aca="false">SUMIFS(country_annual_ha!J$2:J$556,country_annual_ha!$D$2:$D$556,$A61,country_annual_ha!$E$2:$E$556,$B61)</f>
        <v>0</v>
      </c>
      <c r="I61" s="7" t="n">
        <f aca="false">SUMIFS(country_annual_ha!K$2:K$556,country_annual_ha!$D$2:$D$556,$A61,country_annual_ha!$E$2:$E$556,$B61)</f>
        <v>0</v>
      </c>
      <c r="J61" s="7" t="n">
        <f aca="false">SUMIFS(country_annual_ha!L$2:L$556,country_annual_ha!$D$2:$D$556,$A61,country_annual_ha!$E$2:$E$556,$B61)</f>
        <v>0</v>
      </c>
      <c r="K61" s="7" t="n">
        <f aca="false">SUMIFS(country_annual_ha!M$2:M$556,country_annual_ha!$D$2:$D$556,$A61,country_annual_ha!$E$2:$E$556,$B61)</f>
        <v>0</v>
      </c>
      <c r="L61" s="7" t="n">
        <f aca="false">SUMIFS(country_annual_ha!N$2:N$556,country_annual_ha!$D$2:$D$556,$A61,country_annual_ha!$E$2:$E$556,$B61)</f>
        <v>0</v>
      </c>
      <c r="M61" s="7" t="n">
        <f aca="false">SUMIFS(country_annual_ha!O$2:O$556,country_annual_ha!$D$2:$D$556,$A61,country_annual_ha!$E$2:$E$556,$B61)</f>
        <v>0</v>
      </c>
      <c r="N61" s="7" t="n">
        <f aca="false">SUMIFS(country_annual_ha!P$2:P$556,country_annual_ha!$D$2:$D$556,$A61,country_annual_ha!$E$2:$E$556,$B61)</f>
        <v>0</v>
      </c>
      <c r="O61" s="7" t="n">
        <f aca="false">SUMIFS(country_annual_ha!Q$2:Q$556,country_annual_ha!$D$2:$D$556,$A61,country_annual_ha!$E$2:$E$556,$B61)</f>
        <v>0</v>
      </c>
      <c r="P61" s="7" t="n">
        <f aca="false">SUMIFS(country_annual_ha!R$2:R$556,country_annual_ha!$D$2:$D$556,$A61,country_annual_ha!$E$2:$E$556,$B61)</f>
        <v>0</v>
      </c>
      <c r="Q61" s="7" t="n">
        <f aca="false">SUMIFS(country_annual_ha!S$2:S$556,country_annual_ha!$D$2:$D$556,$A61,country_annual_ha!$E$2:$E$556,$B61)</f>
        <v>0</v>
      </c>
      <c r="R61" s="7" t="n">
        <f aca="false">SUMIFS(country_annual_ha!T$2:T$556,country_annual_ha!$D$2:$D$556,$A61,country_annual_ha!$E$2:$E$556,$B61)</f>
        <v>0</v>
      </c>
      <c r="S61" s="7" t="n">
        <f aca="false">SUMIFS(country_annual_ha!U$2:U$556,country_annual_ha!$D$2:$D$556,$A61,country_annual_ha!$E$2:$E$556,$B61)</f>
        <v>0</v>
      </c>
      <c r="T61" s="7" t="n">
        <f aca="false">SUMIFS(country_annual_ha!V$2:V$556,country_annual_ha!$D$2:$D$556,$A61,country_annual_ha!$E$2:$E$556,$B61)</f>
        <v>0</v>
      </c>
      <c r="U61" s="7" t="n">
        <f aca="false">SUMIFS(country_annual_ha!W$2:W$556,country_annual_ha!$D$2:$D$556,$A61,country_annual_ha!$E$2:$E$556,$B61)</f>
        <v>0</v>
      </c>
      <c r="V61" s="7" t="n">
        <f aca="false">SUMIFS(country_annual_ha!X$2:X$556,country_annual_ha!$D$2:$D$556,$A61,country_annual_ha!$E$2:$E$556,$B61)</f>
        <v>0</v>
      </c>
      <c r="W61" s="7" t="n">
        <f aca="false">SUMIFS(country_annual_ha!Y$2:Y$556,country_annual_ha!$D$2:$D$556,$A61,country_annual_ha!$E$2:$E$556,$B61)</f>
        <v>0</v>
      </c>
      <c r="X61" s="7" t="n">
        <f aca="false">SUMIFS(country_annual_ha!Z$2:Z$556,country_annual_ha!$D$2:$D$556,$A61,country_annual_ha!$E$2:$E$556,$B61)</f>
        <v>0</v>
      </c>
      <c r="Y61" s="7" t="n">
        <f aca="false">SUMIFS(country_annual_ha!AA$2:AA$556,country_annual_ha!$D$2:$D$556,$A61,country_annual_ha!$E$2:$E$556,$B61)</f>
        <v>0</v>
      </c>
      <c r="Z61" s="7" t="n">
        <f aca="false">SUMIFS(country_annual_ha!AB$2:AB$556,country_annual_ha!$D$2:$D$556,$A61,country_annual_ha!$E$2:$E$556,$B61)</f>
        <v>0</v>
      </c>
    </row>
    <row r="62" customFormat="false" ht="15" hidden="false" customHeight="false" outlineLevel="0" collapsed="false">
      <c r="A62" s="4" t="s">
        <v>71</v>
      </c>
      <c r="B62" s="4" t="s">
        <v>91</v>
      </c>
      <c r="C62" s="4" t="s">
        <v>72</v>
      </c>
      <c r="D62" s="7" t="n">
        <f aca="false">SUMIFS(country_annual_ha!F$2:F$556,country_annual_ha!$D$2:$D$556,$A62,country_annual_ha!$E$2:$E$556,$B62)</f>
        <v>29334.2750839869</v>
      </c>
      <c r="E62" s="7" t="n">
        <f aca="false">SUMIFS(country_annual_ha!G$2:G$556,country_annual_ha!$D$2:$D$556,$A62,country_annual_ha!$E$2:$E$556,$B62)</f>
        <v>20389.3008027355</v>
      </c>
      <c r="F62" s="7" t="n">
        <f aca="false">SUMIFS(country_annual_ha!H$2:H$556,country_annual_ha!$D$2:$D$556,$A62,country_annual_ha!$E$2:$E$556,$B62)</f>
        <v>1844.19922111795</v>
      </c>
      <c r="G62" s="7" t="n">
        <f aca="false">SUMIFS(country_annual_ha!I$2:I$556,country_annual_ha!$D$2:$D$556,$A62,country_annual_ha!$E$2:$E$556,$B62)</f>
        <v>979.418734694489</v>
      </c>
      <c r="H62" s="7" t="n">
        <f aca="false">SUMIFS(country_annual_ha!J$2:J$556,country_annual_ha!$D$2:$D$556,$A62,country_annual_ha!$E$2:$E$556,$B62)</f>
        <v>2678.96477283313</v>
      </c>
      <c r="I62" s="7" t="n">
        <f aca="false">SUMIFS(country_annual_ha!K$2:K$556,country_annual_ha!$D$2:$D$556,$A62,country_annual_ha!$E$2:$E$556,$B62)</f>
        <v>27858.4304215511</v>
      </c>
      <c r="J62" s="7" t="n">
        <f aca="false">SUMIFS(country_annual_ha!L$2:L$556,country_annual_ha!$D$2:$D$556,$A62,country_annual_ha!$E$2:$E$556,$B62)</f>
        <v>9869.43891567111</v>
      </c>
      <c r="K62" s="7" t="n">
        <f aca="false">SUMIFS(country_annual_ha!M$2:M$556,country_annual_ha!$D$2:$D$556,$A62,country_annual_ha!$E$2:$E$556,$B62)</f>
        <v>5762.15446001965</v>
      </c>
      <c r="L62" s="7" t="n">
        <f aca="false">SUMIFS(country_annual_ha!N$2:N$556,country_annual_ha!$D$2:$D$556,$A62,country_annual_ha!$E$2:$E$556,$B62)</f>
        <v>7097.06679939761</v>
      </c>
      <c r="M62" s="7" t="n">
        <f aca="false">SUMIFS(country_annual_ha!O$2:O$556,country_annual_ha!$D$2:$D$556,$A62,country_annual_ha!$E$2:$E$556,$B62)</f>
        <v>4469.82773000441</v>
      </c>
      <c r="N62" s="7" t="n">
        <f aca="false">SUMIFS(country_annual_ha!P$2:P$556,country_annual_ha!$D$2:$D$556,$A62,country_annual_ha!$E$2:$E$556,$B62)</f>
        <v>22748.5391356563</v>
      </c>
      <c r="O62" s="7" t="n">
        <f aca="false">SUMIFS(country_annual_ha!Q$2:Q$556,country_annual_ha!$D$2:$D$556,$A62,country_annual_ha!$E$2:$E$556,$B62)</f>
        <v>13239.9665322952</v>
      </c>
      <c r="P62" s="7" t="n">
        <f aca="false">SUMIFS(country_annual_ha!R$2:R$556,country_annual_ha!$D$2:$D$556,$A62,country_annual_ha!$E$2:$E$556,$B62)</f>
        <v>21475.7852777836</v>
      </c>
      <c r="Q62" s="7" t="n">
        <f aca="false">SUMIFS(country_annual_ha!S$2:S$556,country_annual_ha!$D$2:$D$556,$A62,country_annual_ha!$E$2:$E$556,$B62)</f>
        <v>53111.1276218556</v>
      </c>
      <c r="R62" s="7" t="n">
        <f aca="false">SUMIFS(country_annual_ha!T$2:T$556,country_annual_ha!$D$2:$D$556,$A62,country_annual_ha!$E$2:$E$556,$B62)</f>
        <v>48722.889804556</v>
      </c>
      <c r="S62" s="7" t="n">
        <f aca="false">SUMIFS(country_annual_ha!U$2:U$556,country_annual_ha!$D$2:$D$556,$A62,country_annual_ha!$E$2:$E$556,$B62)</f>
        <v>89743.7822324899</v>
      </c>
      <c r="T62" s="7" t="n">
        <f aca="false">SUMIFS(country_annual_ha!V$2:V$556,country_annual_ha!$D$2:$D$556,$A62,country_annual_ha!$E$2:$E$556,$B62)</f>
        <v>227652.91214218</v>
      </c>
      <c r="U62" s="7" t="n">
        <f aca="false">SUMIFS(country_annual_ha!W$2:W$556,country_annual_ha!$D$2:$D$556,$A62,country_annual_ha!$E$2:$E$556,$B62)</f>
        <v>138459.903884702</v>
      </c>
      <c r="V62" s="7" t="n">
        <f aca="false">SUMIFS(country_annual_ha!X$2:X$556,country_annual_ha!$D$2:$D$556,$A62,country_annual_ha!$E$2:$E$556,$B62)</f>
        <v>75794.6174671243</v>
      </c>
      <c r="W62" s="7" t="n">
        <f aca="false">SUMIFS(country_annual_ha!Y$2:Y$556,country_annual_ha!$D$2:$D$556,$A62,country_annual_ha!$E$2:$E$556,$B62)</f>
        <v>87000.3551869425</v>
      </c>
      <c r="X62" s="7" t="n">
        <f aca="false">SUMIFS(country_annual_ha!Z$2:Z$556,country_annual_ha!$D$2:$D$556,$A62,country_annual_ha!$E$2:$E$556,$B62)</f>
        <v>105619.324593775</v>
      </c>
      <c r="Y62" s="7" t="n">
        <f aca="false">SUMIFS(country_annual_ha!AA$2:AA$556,country_annual_ha!$D$2:$D$556,$A62,country_annual_ha!$E$2:$E$556,$B62)</f>
        <v>113317.949539654</v>
      </c>
      <c r="Z62" s="7" t="n">
        <f aca="false">SUMIFS(country_annual_ha!AB$2:AB$556,country_annual_ha!$D$2:$D$556,$A62,country_annual_ha!$E$2:$E$556,$B62)</f>
        <v>86771.6342448971</v>
      </c>
    </row>
    <row r="63" customFormat="false" ht="15" hidden="false" customHeight="false" outlineLevel="0" collapsed="false">
      <c r="A63" s="4" t="s">
        <v>71</v>
      </c>
      <c r="B63" s="4" t="s">
        <v>92</v>
      </c>
      <c r="C63" s="4" t="s">
        <v>72</v>
      </c>
      <c r="D63" s="7" t="n">
        <f aca="false">SUMIFS(country_annual_ha!F$2:F$556,country_annual_ha!$D$2:$D$556,$A63,country_annual_ha!$E$2:$E$556,$B63)</f>
        <v>18621.4499248217</v>
      </c>
      <c r="E63" s="7" t="n">
        <f aca="false">SUMIFS(country_annual_ha!G$2:G$556,country_annual_ha!$D$2:$D$556,$A63,country_annual_ha!$E$2:$E$556,$B63)</f>
        <v>14097.7849427869</v>
      </c>
      <c r="F63" s="7" t="n">
        <f aca="false">SUMIFS(country_annual_ha!H$2:H$556,country_annual_ha!$D$2:$D$556,$A63,country_annual_ha!$E$2:$E$556,$B63)</f>
        <v>15191.4202481958</v>
      </c>
      <c r="G63" s="7" t="n">
        <f aca="false">SUMIFS(country_annual_ha!I$2:I$556,country_annual_ha!$D$2:$D$556,$A63,country_annual_ha!$E$2:$E$556,$B63)</f>
        <v>15076.6846385267</v>
      </c>
      <c r="H63" s="7" t="n">
        <f aca="false">SUMIFS(country_annual_ha!J$2:J$556,country_annual_ha!$D$2:$D$556,$A63,country_annual_ha!$E$2:$E$556,$B63)</f>
        <v>14085.057750893</v>
      </c>
      <c r="I63" s="7" t="n">
        <f aca="false">SUMIFS(country_annual_ha!K$2:K$556,country_annual_ha!$D$2:$D$556,$A63,country_annual_ha!$E$2:$E$556,$B63)</f>
        <v>0</v>
      </c>
      <c r="J63" s="7" t="n">
        <f aca="false">SUMIFS(country_annual_ha!L$2:L$556,country_annual_ha!$D$2:$D$556,$A63,country_annual_ha!$E$2:$E$556,$B63)</f>
        <v>21578.5152843368</v>
      </c>
      <c r="K63" s="7" t="n">
        <f aca="false">SUMIFS(country_annual_ha!M$2:M$556,country_annual_ha!$D$2:$D$556,$A63,country_annual_ha!$E$2:$E$556,$B63)</f>
        <v>24122.2671870385</v>
      </c>
      <c r="L63" s="7" t="n">
        <f aca="false">SUMIFS(country_annual_ha!N$2:N$556,country_annual_ha!$D$2:$D$556,$A63,country_annual_ha!$E$2:$E$556,$B63)</f>
        <v>23075.8880512774</v>
      </c>
      <c r="M63" s="7" t="n">
        <f aca="false">SUMIFS(country_annual_ha!O$2:O$556,country_annual_ha!$D$2:$D$556,$A63,country_annual_ha!$E$2:$E$556,$B63)</f>
        <v>28841.5985683005</v>
      </c>
      <c r="N63" s="7" t="n">
        <f aca="false">SUMIFS(country_annual_ha!P$2:P$556,country_annual_ha!$D$2:$D$556,$A63,country_annual_ha!$E$2:$E$556,$B63)</f>
        <v>39464.2035946506</v>
      </c>
      <c r="O63" s="7" t="n">
        <f aca="false">SUMIFS(country_annual_ha!Q$2:Q$556,country_annual_ha!$D$2:$D$556,$A63,country_annual_ha!$E$2:$E$556,$B63)</f>
        <v>32091.5433016902</v>
      </c>
      <c r="P63" s="7" t="n">
        <f aca="false">SUMIFS(country_annual_ha!R$2:R$556,country_annual_ha!$D$2:$D$556,$A63,country_annual_ha!$E$2:$E$556,$B63)</f>
        <v>33410.5549267718</v>
      </c>
      <c r="Q63" s="7" t="n">
        <f aca="false">SUMIFS(country_annual_ha!S$2:S$556,country_annual_ha!$D$2:$D$556,$A63,country_annual_ha!$E$2:$E$556,$B63)</f>
        <v>35993.8728154827</v>
      </c>
      <c r="R63" s="7" t="n">
        <f aca="false">SUMIFS(country_annual_ha!T$2:T$556,country_annual_ha!$D$2:$D$556,$A63,country_annual_ha!$E$2:$E$556,$B63)</f>
        <v>5881.33089876268</v>
      </c>
      <c r="S63" s="7" t="n">
        <f aca="false">SUMIFS(country_annual_ha!U$2:U$556,country_annual_ha!$D$2:$D$556,$A63,country_annual_ha!$E$2:$E$556,$B63)</f>
        <v>0</v>
      </c>
      <c r="T63" s="7" t="n">
        <f aca="false">SUMIFS(country_annual_ha!V$2:V$556,country_annual_ha!$D$2:$D$556,$A63,country_annual_ha!$E$2:$E$556,$B63)</f>
        <v>0</v>
      </c>
      <c r="U63" s="7" t="n">
        <f aca="false">SUMIFS(country_annual_ha!W$2:W$556,country_annual_ha!$D$2:$D$556,$A63,country_annual_ha!$E$2:$E$556,$B63)</f>
        <v>17954.4852282045</v>
      </c>
      <c r="V63" s="7" t="n">
        <f aca="false">SUMIFS(country_annual_ha!X$2:X$556,country_annual_ha!$D$2:$D$556,$A63,country_annual_ha!$E$2:$E$556,$B63)</f>
        <v>40127.6049746227</v>
      </c>
      <c r="W63" s="7" t="n">
        <f aca="false">SUMIFS(country_annual_ha!Y$2:Y$556,country_annual_ha!$D$2:$D$556,$A63,country_annual_ha!$E$2:$E$556,$B63)</f>
        <v>38078.4873845578</v>
      </c>
      <c r="X63" s="7" t="n">
        <f aca="false">SUMIFS(country_annual_ha!Z$2:Z$556,country_annual_ha!$D$2:$D$556,$A63,country_annual_ha!$E$2:$E$556,$B63)</f>
        <v>20321.2709301437</v>
      </c>
      <c r="Y63" s="7" t="n">
        <f aca="false">SUMIFS(country_annual_ha!AA$2:AA$556,country_annual_ha!$D$2:$D$556,$A63,country_annual_ha!$E$2:$E$556,$B63)</f>
        <v>23880.4304383492</v>
      </c>
      <c r="Z63" s="7" t="n">
        <f aca="false">SUMIFS(country_annual_ha!AB$2:AB$556,country_annual_ha!$D$2:$D$556,$A63,country_annual_ha!$E$2:$E$556,$B63)</f>
        <v>22771.5141704204</v>
      </c>
    </row>
    <row r="64" customFormat="false" ht="15" hidden="false" customHeight="false" outlineLevel="0" collapsed="false">
      <c r="A64" s="4" t="s">
        <v>71</v>
      </c>
      <c r="B64" s="4" t="s">
        <v>93</v>
      </c>
      <c r="C64" s="4" t="s">
        <v>72</v>
      </c>
      <c r="D64" s="7" t="n">
        <f aca="false">SUMIFS(country_annual_ha!F$2:F$556,country_annual_ha!$D$2:$D$556,$A64,country_annual_ha!$E$2:$E$556,$B64)</f>
        <v>0</v>
      </c>
      <c r="E64" s="7" t="n">
        <f aca="false">SUMIFS(country_annual_ha!G$2:G$556,country_annual_ha!$D$2:$D$556,$A64,country_annual_ha!$E$2:$E$556,$B64)</f>
        <v>0</v>
      </c>
      <c r="F64" s="7" t="n">
        <f aca="false">SUMIFS(country_annual_ha!H$2:H$556,country_annual_ha!$D$2:$D$556,$A64,country_annual_ha!$E$2:$E$556,$B64)</f>
        <v>0</v>
      </c>
      <c r="G64" s="7" t="n">
        <f aca="false">SUMIFS(country_annual_ha!I$2:I$556,country_annual_ha!$D$2:$D$556,$A64,country_annual_ha!$E$2:$E$556,$B64)</f>
        <v>0</v>
      </c>
      <c r="H64" s="7" t="n">
        <f aca="false">SUMIFS(country_annual_ha!J$2:J$556,country_annual_ha!$D$2:$D$556,$A64,country_annual_ha!$E$2:$E$556,$B64)</f>
        <v>0</v>
      </c>
      <c r="I64" s="7" t="n">
        <f aca="false">SUMIFS(country_annual_ha!K$2:K$556,country_annual_ha!$D$2:$D$556,$A64,country_annual_ha!$E$2:$E$556,$B64)</f>
        <v>0</v>
      </c>
      <c r="J64" s="7" t="n">
        <f aca="false">SUMIFS(country_annual_ha!L$2:L$556,country_annual_ha!$D$2:$D$556,$A64,country_annual_ha!$E$2:$E$556,$B64)</f>
        <v>0</v>
      </c>
      <c r="K64" s="7" t="n">
        <f aca="false">SUMIFS(country_annual_ha!M$2:M$556,country_annual_ha!$D$2:$D$556,$A64,country_annual_ha!$E$2:$E$556,$B64)</f>
        <v>0</v>
      </c>
      <c r="L64" s="7" t="n">
        <f aca="false">SUMIFS(country_annual_ha!N$2:N$556,country_annual_ha!$D$2:$D$556,$A64,country_annual_ha!$E$2:$E$556,$B64)</f>
        <v>0</v>
      </c>
      <c r="M64" s="7" t="n">
        <f aca="false">SUMIFS(country_annual_ha!O$2:O$556,country_annual_ha!$D$2:$D$556,$A64,country_annual_ha!$E$2:$E$556,$B64)</f>
        <v>0</v>
      </c>
      <c r="N64" s="7" t="n">
        <f aca="false">SUMIFS(country_annual_ha!P$2:P$556,country_annual_ha!$D$2:$D$556,$A64,country_annual_ha!$E$2:$E$556,$B64)</f>
        <v>0</v>
      </c>
      <c r="O64" s="7" t="n">
        <f aca="false">SUMIFS(country_annual_ha!Q$2:Q$556,country_annual_ha!$D$2:$D$556,$A64,country_annual_ha!$E$2:$E$556,$B64)</f>
        <v>0</v>
      </c>
      <c r="P64" s="7" t="n">
        <f aca="false">SUMIFS(country_annual_ha!R$2:R$556,country_annual_ha!$D$2:$D$556,$A64,country_annual_ha!$E$2:$E$556,$B64)</f>
        <v>0</v>
      </c>
      <c r="Q64" s="7" t="n">
        <f aca="false">SUMIFS(country_annual_ha!S$2:S$556,country_annual_ha!$D$2:$D$556,$A64,country_annual_ha!$E$2:$E$556,$B64)</f>
        <v>0</v>
      </c>
      <c r="R64" s="7" t="n">
        <f aca="false">SUMIFS(country_annual_ha!T$2:T$556,country_annual_ha!$D$2:$D$556,$A64,country_annual_ha!$E$2:$E$556,$B64)</f>
        <v>0</v>
      </c>
      <c r="S64" s="7" t="n">
        <f aca="false">SUMIFS(country_annual_ha!U$2:U$556,country_annual_ha!$D$2:$D$556,$A64,country_annual_ha!$E$2:$E$556,$B64)</f>
        <v>0</v>
      </c>
      <c r="T64" s="7" t="n">
        <f aca="false">SUMIFS(country_annual_ha!V$2:V$556,country_annual_ha!$D$2:$D$556,$A64,country_annual_ha!$E$2:$E$556,$B64)</f>
        <v>0</v>
      </c>
      <c r="U64" s="7" t="n">
        <f aca="false">SUMIFS(country_annual_ha!W$2:W$556,country_annual_ha!$D$2:$D$556,$A64,country_annual_ha!$E$2:$E$556,$B64)</f>
        <v>0</v>
      </c>
      <c r="V64" s="7" t="n">
        <f aca="false">SUMIFS(country_annual_ha!X$2:X$556,country_annual_ha!$D$2:$D$556,$A64,country_annual_ha!$E$2:$E$556,$B64)</f>
        <v>0</v>
      </c>
      <c r="W64" s="7" t="n">
        <f aca="false">SUMIFS(country_annual_ha!Y$2:Y$556,country_annual_ha!$D$2:$D$556,$A64,country_annual_ha!$E$2:$E$556,$B64)</f>
        <v>0</v>
      </c>
      <c r="X64" s="7" t="n">
        <f aca="false">SUMIFS(country_annual_ha!Z$2:Z$556,country_annual_ha!$D$2:$D$556,$A64,country_annual_ha!$E$2:$E$556,$B64)</f>
        <v>0</v>
      </c>
      <c r="Y64" s="7" t="n">
        <f aca="false">SUMIFS(country_annual_ha!AA$2:AA$556,country_annual_ha!$D$2:$D$556,$A64,country_annual_ha!$E$2:$E$556,$B64)</f>
        <v>0</v>
      </c>
      <c r="Z64" s="7" t="n">
        <f aca="false">SUMIFS(country_annual_ha!AB$2:AB$556,country_annual_ha!$D$2:$D$556,$A64,country_annual_ha!$E$2:$E$556,$B64)</f>
        <v>0</v>
      </c>
    </row>
    <row r="65" customFormat="false" ht="15" hidden="false" customHeight="false" outlineLevel="0" collapsed="false">
      <c r="A65" s="4" t="s">
        <v>73</v>
      </c>
      <c r="B65" s="4" t="s">
        <v>91</v>
      </c>
      <c r="C65" s="4" t="s">
        <v>74</v>
      </c>
      <c r="D65" s="7" t="n">
        <f aca="false">SUMIFS(country_annual_ha!F$2:F$556,country_annual_ha!$D$2:$D$556,$A65,country_annual_ha!$E$2:$E$556,$B65)</f>
        <v>34697.465271074</v>
      </c>
      <c r="E65" s="7" t="n">
        <f aca="false">SUMIFS(country_annual_ha!G$2:G$556,country_annual_ha!$D$2:$D$556,$A65,country_annual_ha!$E$2:$E$556,$B65)</f>
        <v>19538.0402931259</v>
      </c>
      <c r="F65" s="7" t="n">
        <f aca="false">SUMIFS(country_annual_ha!H$2:H$556,country_annual_ha!$D$2:$D$556,$A65,country_annual_ha!$E$2:$E$556,$B65)</f>
        <v>17362.1329966486</v>
      </c>
      <c r="G65" s="7" t="n">
        <f aca="false">SUMIFS(country_annual_ha!I$2:I$556,country_annual_ha!$D$2:$D$556,$A65,country_annual_ha!$E$2:$E$556,$B65)</f>
        <v>26552.6544757692</v>
      </c>
      <c r="H65" s="7" t="n">
        <f aca="false">SUMIFS(country_annual_ha!J$2:J$556,country_annual_ha!$D$2:$D$556,$A65,country_annual_ha!$E$2:$E$556,$B65)</f>
        <v>33860.8657426264</v>
      </c>
      <c r="I65" s="7" t="n">
        <f aca="false">SUMIFS(country_annual_ha!K$2:K$556,country_annual_ha!$D$2:$D$556,$A65,country_annual_ha!$E$2:$E$556,$B65)</f>
        <v>31362.1504651318</v>
      </c>
      <c r="J65" s="7" t="n">
        <f aca="false">SUMIFS(country_annual_ha!L$2:L$556,country_annual_ha!$D$2:$D$556,$A65,country_annual_ha!$E$2:$E$556,$B65)</f>
        <v>59290.3448857464</v>
      </c>
      <c r="K65" s="7" t="n">
        <f aca="false">SUMIFS(country_annual_ha!M$2:M$556,country_annual_ha!$D$2:$D$556,$A65,country_annual_ha!$E$2:$E$556,$B65)</f>
        <v>46475.729861615</v>
      </c>
      <c r="L65" s="7" t="n">
        <f aca="false">SUMIFS(country_annual_ha!N$2:N$556,country_annual_ha!$D$2:$D$556,$A65,country_annual_ha!$E$2:$E$556,$B65)</f>
        <v>67873.7300319346</v>
      </c>
      <c r="M65" s="7" t="n">
        <f aca="false">SUMIFS(country_annual_ha!O$2:O$556,country_annual_ha!$D$2:$D$556,$A65,country_annual_ha!$E$2:$E$556,$B65)</f>
        <v>45361.955611467</v>
      </c>
      <c r="N65" s="7" t="n">
        <f aca="false">SUMIFS(country_annual_ha!P$2:P$556,country_annual_ha!$D$2:$D$556,$A65,country_annual_ha!$E$2:$E$556,$B65)</f>
        <v>63033.6666666667</v>
      </c>
      <c r="O65" s="7" t="n">
        <f aca="false">SUMIFS(country_annual_ha!Q$2:Q$556,country_annual_ha!$D$2:$D$556,$A65,country_annual_ha!$E$2:$E$556,$B65)</f>
        <v>66920.1718778198</v>
      </c>
      <c r="P65" s="7" t="n">
        <f aca="false">SUMIFS(country_annual_ha!R$2:R$556,country_annual_ha!$D$2:$D$556,$A65,country_annual_ha!$E$2:$E$556,$B65)</f>
        <v>56974.9743782059</v>
      </c>
      <c r="Q65" s="7" t="n">
        <f aca="false">SUMIFS(country_annual_ha!S$2:S$556,country_annual_ha!$D$2:$D$556,$A65,country_annual_ha!$E$2:$E$556,$B65)</f>
        <v>62381.675599811</v>
      </c>
      <c r="R65" s="7" t="n">
        <f aca="false">SUMIFS(country_annual_ha!T$2:T$556,country_annual_ha!$D$2:$D$556,$A65,country_annual_ha!$E$2:$E$556,$B65)</f>
        <v>42026.6927968798</v>
      </c>
      <c r="S65" s="7" t="n">
        <f aca="false">SUMIFS(country_annual_ha!U$2:U$556,country_annual_ha!$D$2:$D$556,$A65,country_annual_ha!$E$2:$E$556,$B65)</f>
        <v>30186.0343005133</v>
      </c>
      <c r="T65" s="7" t="n">
        <f aca="false">SUMIFS(country_annual_ha!V$2:V$556,country_annual_ha!$D$2:$D$556,$A65,country_annual_ha!$E$2:$E$556,$B65)</f>
        <v>29969.5785633097</v>
      </c>
      <c r="U65" s="7" t="n">
        <f aca="false">SUMIFS(country_annual_ha!W$2:W$556,country_annual_ha!$D$2:$D$556,$A65,country_annual_ha!$E$2:$E$556,$B65)</f>
        <v>12711.7319959291</v>
      </c>
      <c r="V65" s="7" t="n">
        <f aca="false">SUMIFS(country_annual_ha!X$2:X$556,country_annual_ha!$D$2:$D$556,$A65,country_annual_ha!$E$2:$E$556,$B65)</f>
        <v>2260.32756628425</v>
      </c>
      <c r="W65" s="7" t="n">
        <f aca="false">SUMIFS(country_annual_ha!Y$2:Y$556,country_annual_ha!$D$2:$D$556,$A65,country_annual_ha!$E$2:$E$556,$B65)</f>
        <v>0</v>
      </c>
      <c r="X65" s="7" t="n">
        <f aca="false">SUMIFS(country_annual_ha!Z$2:Z$556,country_annual_ha!$D$2:$D$556,$A65,country_annual_ha!$E$2:$E$556,$B65)</f>
        <v>0</v>
      </c>
      <c r="Y65" s="7" t="n">
        <f aca="false">SUMIFS(country_annual_ha!AA$2:AA$556,country_annual_ha!$D$2:$D$556,$A65,country_annual_ha!$E$2:$E$556,$B65)</f>
        <v>6682.70051575997</v>
      </c>
      <c r="Z65" s="7" t="n">
        <f aca="false">SUMIFS(country_annual_ha!AB$2:AB$556,country_annual_ha!$D$2:$D$556,$A65,country_annual_ha!$E$2:$E$556,$B65)</f>
        <v>2012.7015530497</v>
      </c>
    </row>
    <row r="66" customFormat="false" ht="15" hidden="false" customHeight="false" outlineLevel="0" collapsed="false">
      <c r="A66" s="4" t="s">
        <v>73</v>
      </c>
      <c r="B66" s="4" t="s">
        <v>92</v>
      </c>
      <c r="C66" s="4" t="s">
        <v>74</v>
      </c>
      <c r="D66" s="7" t="n">
        <f aca="false">SUMIFS(country_annual_ha!F$2:F$556,country_annual_ha!$D$2:$D$556,$A66,country_annual_ha!$E$2:$E$556,$B66)</f>
        <v>0</v>
      </c>
      <c r="E66" s="7" t="n">
        <f aca="false">SUMIFS(country_annual_ha!G$2:G$556,country_annual_ha!$D$2:$D$556,$A66,country_annual_ha!$E$2:$E$556,$B66)</f>
        <v>0</v>
      </c>
      <c r="F66" s="7" t="n">
        <f aca="false">SUMIFS(country_annual_ha!H$2:H$556,country_annual_ha!$D$2:$D$556,$A66,country_annual_ha!$E$2:$E$556,$B66)</f>
        <v>0</v>
      </c>
      <c r="G66" s="7" t="n">
        <f aca="false">SUMIFS(country_annual_ha!I$2:I$556,country_annual_ha!$D$2:$D$556,$A66,country_annual_ha!$E$2:$E$556,$B66)</f>
        <v>165.518411518451</v>
      </c>
      <c r="H66" s="7" t="n">
        <f aca="false">SUMIFS(country_annual_ha!J$2:J$556,country_annual_ha!$D$2:$D$556,$A66,country_annual_ha!$E$2:$E$556,$B66)</f>
        <v>3901.91603873199</v>
      </c>
      <c r="I66" s="7" t="n">
        <f aca="false">SUMIFS(country_annual_ha!K$2:K$556,country_annual_ha!$D$2:$D$556,$A66,country_annual_ha!$E$2:$E$556,$B66)</f>
        <v>0</v>
      </c>
      <c r="J66" s="7" t="n">
        <f aca="false">SUMIFS(country_annual_ha!L$2:L$556,country_annual_ha!$D$2:$D$556,$A66,country_annual_ha!$E$2:$E$556,$B66)</f>
        <v>0</v>
      </c>
      <c r="K66" s="7" t="n">
        <f aca="false">SUMIFS(country_annual_ha!M$2:M$556,country_annual_ha!$D$2:$D$556,$A66,country_annual_ha!$E$2:$E$556,$B66)</f>
        <v>519.15989576212</v>
      </c>
      <c r="L66" s="7" t="n">
        <f aca="false">SUMIFS(country_annual_ha!N$2:N$556,country_annual_ha!$D$2:$D$556,$A66,country_annual_ha!$E$2:$E$556,$B66)</f>
        <v>10329.7921343899</v>
      </c>
      <c r="M66" s="7" t="n">
        <f aca="false">SUMIFS(country_annual_ha!O$2:O$556,country_annual_ha!$D$2:$D$556,$A66,country_annual_ha!$E$2:$E$556,$B66)</f>
        <v>4935.26071309623</v>
      </c>
      <c r="N66" s="7" t="n">
        <f aca="false">SUMIFS(country_annual_ha!P$2:P$556,country_annual_ha!$D$2:$D$556,$A66,country_annual_ha!$E$2:$E$556,$B66)</f>
        <v>9801.50220927147</v>
      </c>
      <c r="O66" s="7" t="n">
        <f aca="false">SUMIFS(country_annual_ha!Q$2:Q$556,country_annual_ha!$D$2:$D$556,$A66,country_annual_ha!$E$2:$E$556,$B66)</f>
        <v>8091.42860316433</v>
      </c>
      <c r="P66" s="7" t="n">
        <f aca="false">SUMIFS(country_annual_ha!R$2:R$556,country_annual_ha!$D$2:$D$556,$A66,country_annual_ha!$E$2:$E$556,$B66)</f>
        <v>0</v>
      </c>
      <c r="Q66" s="7" t="n">
        <f aca="false">SUMIFS(country_annual_ha!S$2:S$556,country_annual_ha!$D$2:$D$556,$A66,country_annual_ha!$E$2:$E$556,$B66)</f>
        <v>0</v>
      </c>
      <c r="R66" s="7" t="n">
        <f aca="false">SUMIFS(country_annual_ha!T$2:T$556,country_annual_ha!$D$2:$D$556,$A66,country_annual_ha!$E$2:$E$556,$B66)</f>
        <v>0</v>
      </c>
      <c r="S66" s="7" t="n">
        <f aca="false">SUMIFS(country_annual_ha!U$2:U$556,country_annual_ha!$D$2:$D$556,$A66,country_annual_ha!$E$2:$E$556,$B66)</f>
        <v>28253.8196015601</v>
      </c>
      <c r="T66" s="7" t="n">
        <f aca="false">SUMIFS(country_annual_ha!V$2:V$556,country_annual_ha!$D$2:$D$556,$A66,country_annual_ha!$E$2:$E$556,$B66)</f>
        <v>47930.9477144278</v>
      </c>
      <c r="U66" s="7" t="n">
        <f aca="false">SUMIFS(country_annual_ha!W$2:W$556,country_annual_ha!$D$2:$D$556,$A66,country_annual_ha!$E$2:$E$556,$B66)</f>
        <v>46868.6888120576</v>
      </c>
      <c r="V66" s="7" t="n">
        <f aca="false">SUMIFS(country_annual_ha!X$2:X$556,country_annual_ha!$D$2:$D$556,$A66,country_annual_ha!$E$2:$E$556,$B66)</f>
        <v>37268.7860068225</v>
      </c>
      <c r="W66" s="7" t="n">
        <f aca="false">SUMIFS(country_annual_ha!Y$2:Y$556,country_annual_ha!$D$2:$D$556,$A66,country_annual_ha!$E$2:$E$556,$B66)</f>
        <v>55440.8632251026</v>
      </c>
      <c r="X66" s="7" t="n">
        <f aca="false">SUMIFS(country_annual_ha!Z$2:Z$556,country_annual_ha!$D$2:$D$556,$A66,country_annual_ha!$E$2:$E$556,$B66)</f>
        <v>80543.7477699814</v>
      </c>
      <c r="Y66" s="7" t="n">
        <f aca="false">SUMIFS(country_annual_ha!AA$2:AA$556,country_annual_ha!$D$2:$D$556,$A66,country_annual_ha!$E$2:$E$556,$B66)</f>
        <v>57686.1318535652</v>
      </c>
      <c r="Z66" s="7" t="n">
        <f aca="false">SUMIFS(country_annual_ha!AB$2:AB$556,country_annual_ha!$D$2:$D$556,$A66,country_annual_ha!$E$2:$E$556,$B66)</f>
        <v>74391.140294233</v>
      </c>
    </row>
    <row r="67" customFormat="false" ht="15" hidden="false" customHeight="false" outlineLevel="0" collapsed="false">
      <c r="A67" s="4" t="s">
        <v>73</v>
      </c>
      <c r="B67" s="4" t="s">
        <v>93</v>
      </c>
      <c r="C67" s="4" t="s">
        <v>74</v>
      </c>
      <c r="D67" s="7" t="n">
        <f aca="false">SUMIFS(country_annual_ha!F$2:F$556,country_annual_ha!$D$2:$D$556,$A67,country_annual_ha!$E$2:$E$556,$B67)</f>
        <v>0</v>
      </c>
      <c r="E67" s="7" t="n">
        <f aca="false">SUMIFS(country_annual_ha!G$2:G$556,country_annual_ha!$D$2:$D$556,$A67,country_annual_ha!$E$2:$E$556,$B67)</f>
        <v>0</v>
      </c>
      <c r="F67" s="7" t="n">
        <f aca="false">SUMIFS(country_annual_ha!H$2:H$556,country_annual_ha!$D$2:$D$556,$A67,country_annual_ha!$E$2:$E$556,$B67)</f>
        <v>0</v>
      </c>
      <c r="G67" s="7" t="n">
        <f aca="false">SUMIFS(country_annual_ha!I$2:I$556,country_annual_ha!$D$2:$D$556,$A67,country_annual_ha!$E$2:$E$556,$B67)</f>
        <v>0</v>
      </c>
      <c r="H67" s="7" t="n">
        <f aca="false">SUMIFS(country_annual_ha!J$2:J$556,country_annual_ha!$D$2:$D$556,$A67,country_annual_ha!$E$2:$E$556,$B67)</f>
        <v>0</v>
      </c>
      <c r="I67" s="7" t="n">
        <f aca="false">SUMIFS(country_annual_ha!K$2:K$556,country_annual_ha!$D$2:$D$556,$A67,country_annual_ha!$E$2:$E$556,$B67)</f>
        <v>0</v>
      </c>
      <c r="J67" s="7" t="n">
        <f aca="false">SUMIFS(country_annual_ha!L$2:L$556,country_annual_ha!$D$2:$D$556,$A67,country_annual_ha!$E$2:$E$556,$B67)</f>
        <v>0</v>
      </c>
      <c r="K67" s="7" t="n">
        <f aca="false">SUMIFS(country_annual_ha!M$2:M$556,country_annual_ha!$D$2:$D$556,$A67,country_annual_ha!$E$2:$E$556,$B67)</f>
        <v>0</v>
      </c>
      <c r="L67" s="7" t="n">
        <f aca="false">SUMIFS(country_annual_ha!N$2:N$556,country_annual_ha!$D$2:$D$556,$A67,country_annual_ha!$E$2:$E$556,$B67)</f>
        <v>0</v>
      </c>
      <c r="M67" s="7" t="n">
        <f aca="false">SUMIFS(country_annual_ha!O$2:O$556,country_annual_ha!$D$2:$D$556,$A67,country_annual_ha!$E$2:$E$556,$B67)</f>
        <v>0</v>
      </c>
      <c r="N67" s="7" t="n">
        <f aca="false">SUMIFS(country_annual_ha!P$2:P$556,country_annual_ha!$D$2:$D$556,$A67,country_annual_ha!$E$2:$E$556,$B67)</f>
        <v>0</v>
      </c>
      <c r="O67" s="7" t="n">
        <f aca="false">SUMIFS(country_annual_ha!Q$2:Q$556,country_annual_ha!$D$2:$D$556,$A67,country_annual_ha!$E$2:$E$556,$B67)</f>
        <v>0</v>
      </c>
      <c r="P67" s="7" t="n">
        <f aca="false">SUMIFS(country_annual_ha!R$2:R$556,country_annual_ha!$D$2:$D$556,$A67,country_annual_ha!$E$2:$E$556,$B67)</f>
        <v>0</v>
      </c>
      <c r="Q67" s="7" t="n">
        <f aca="false">SUMIFS(country_annual_ha!S$2:S$556,country_annual_ha!$D$2:$D$556,$A67,country_annual_ha!$E$2:$E$556,$B67)</f>
        <v>0</v>
      </c>
      <c r="R67" s="7" t="n">
        <f aca="false">SUMIFS(country_annual_ha!T$2:T$556,country_annual_ha!$D$2:$D$556,$A67,country_annual_ha!$E$2:$E$556,$B67)</f>
        <v>0</v>
      </c>
      <c r="S67" s="7" t="n">
        <f aca="false">SUMIFS(country_annual_ha!U$2:U$556,country_annual_ha!$D$2:$D$556,$A67,country_annual_ha!$E$2:$E$556,$B67)</f>
        <v>0</v>
      </c>
      <c r="T67" s="7" t="n">
        <f aca="false">SUMIFS(country_annual_ha!V$2:V$556,country_annual_ha!$D$2:$D$556,$A67,country_annual_ha!$E$2:$E$556,$B67)</f>
        <v>0</v>
      </c>
      <c r="U67" s="7" t="n">
        <f aca="false">SUMIFS(country_annual_ha!W$2:W$556,country_annual_ha!$D$2:$D$556,$A67,country_annual_ha!$E$2:$E$556,$B67)</f>
        <v>0</v>
      </c>
      <c r="V67" s="7" t="n">
        <f aca="false">SUMIFS(country_annual_ha!X$2:X$556,country_annual_ha!$D$2:$D$556,$A67,country_annual_ha!$E$2:$E$556,$B67)</f>
        <v>0</v>
      </c>
      <c r="W67" s="7" t="n">
        <f aca="false">SUMIFS(country_annual_ha!Y$2:Y$556,country_annual_ha!$D$2:$D$556,$A67,country_annual_ha!$E$2:$E$556,$B67)</f>
        <v>0</v>
      </c>
      <c r="X67" s="7" t="n">
        <f aca="false">SUMIFS(country_annual_ha!Z$2:Z$556,country_annual_ha!$D$2:$D$556,$A67,country_annual_ha!$E$2:$E$556,$B67)</f>
        <v>0</v>
      </c>
      <c r="Y67" s="7" t="n">
        <f aca="false">SUMIFS(country_annual_ha!AA$2:AA$556,country_annual_ha!$D$2:$D$556,$A67,country_annual_ha!$E$2:$E$556,$B67)</f>
        <v>0</v>
      </c>
      <c r="Z67" s="7" t="n">
        <f aca="false">SUMIFS(country_annual_ha!AB$2:AB$556,country_annual_ha!$D$2:$D$556,$A67,country_annual_ha!$E$2:$E$556,$B67)</f>
        <v>0</v>
      </c>
    </row>
    <row r="68" customFormat="false" ht="15" hidden="false" customHeight="false" outlineLevel="0" collapsed="false">
      <c r="A68" s="4" t="s">
        <v>75</v>
      </c>
      <c r="B68" s="4" t="s">
        <v>91</v>
      </c>
      <c r="C68" s="4" t="s">
        <v>76</v>
      </c>
      <c r="D68" s="7" t="n">
        <f aca="false">SUMIFS(country_annual_ha!F$2:F$556,country_annual_ha!$D$2:$D$556,$A68,country_annual_ha!$E$2:$E$556,$B68)</f>
        <v>1646.67884824384</v>
      </c>
      <c r="E68" s="7" t="n">
        <f aca="false">SUMIFS(country_annual_ha!G$2:G$556,country_annual_ha!$D$2:$D$556,$A68,country_annual_ha!$E$2:$E$556,$B68)</f>
        <v>3555.6980542852</v>
      </c>
      <c r="F68" s="7" t="n">
        <f aca="false">SUMIFS(country_annual_ha!H$2:H$556,country_annual_ha!$D$2:$D$556,$A68,country_annual_ha!$E$2:$E$556,$B68)</f>
        <v>346.92597551941</v>
      </c>
      <c r="G68" s="7" t="n">
        <f aca="false">SUMIFS(country_annual_ha!I$2:I$556,country_annual_ha!$D$2:$D$556,$A68,country_annual_ha!$E$2:$E$556,$B68)</f>
        <v>2477.37920721709</v>
      </c>
      <c r="H68" s="7" t="n">
        <f aca="false">SUMIFS(country_annual_ha!J$2:J$556,country_annual_ha!$D$2:$D$556,$A68,country_annual_ha!$E$2:$E$556,$B68)</f>
        <v>1737.56820184056</v>
      </c>
      <c r="I68" s="7" t="n">
        <f aca="false">SUMIFS(country_annual_ha!K$2:K$556,country_annual_ha!$D$2:$D$556,$A68,country_annual_ha!$E$2:$E$556,$B68)</f>
        <v>4151.2366510221</v>
      </c>
      <c r="J68" s="7" t="n">
        <f aca="false">SUMIFS(country_annual_ha!L$2:L$556,country_annual_ha!$D$2:$D$556,$A68,country_annual_ha!$E$2:$E$556,$B68)</f>
        <v>3499.40524583908</v>
      </c>
      <c r="K68" s="7" t="n">
        <f aca="false">SUMIFS(country_annual_ha!M$2:M$556,country_annual_ha!$D$2:$D$556,$A68,country_annual_ha!$E$2:$E$556,$B68)</f>
        <v>3462.9367650521</v>
      </c>
      <c r="L68" s="7" t="n">
        <f aca="false">SUMIFS(country_annual_ha!N$2:N$556,country_annual_ha!$D$2:$D$556,$A68,country_annual_ha!$E$2:$E$556,$B68)</f>
        <v>3664.81477817582</v>
      </c>
      <c r="M68" s="7" t="n">
        <f aca="false">SUMIFS(country_annual_ha!O$2:O$556,country_annual_ha!$D$2:$D$556,$A68,country_annual_ha!$E$2:$E$556,$B68)</f>
        <v>1820.42519302535</v>
      </c>
      <c r="N68" s="7" t="n">
        <f aca="false">SUMIFS(country_annual_ha!P$2:P$556,country_annual_ha!$D$2:$D$556,$A68,country_annual_ha!$E$2:$E$556,$B68)</f>
        <v>3716.4943091058</v>
      </c>
      <c r="O68" s="7" t="n">
        <f aca="false">SUMIFS(country_annual_ha!Q$2:Q$556,country_annual_ha!$D$2:$D$556,$A68,country_annual_ha!$E$2:$E$556,$B68)</f>
        <v>536.098555275931</v>
      </c>
      <c r="P68" s="7" t="n">
        <f aca="false">SUMIFS(country_annual_ha!R$2:R$556,country_annual_ha!$D$2:$D$556,$A68,country_annual_ha!$E$2:$E$556,$B68)</f>
        <v>420.860549200179</v>
      </c>
      <c r="Q68" s="7" t="n">
        <f aca="false">SUMIFS(country_annual_ha!S$2:S$556,country_annual_ha!$D$2:$D$556,$A68,country_annual_ha!$E$2:$E$556,$B68)</f>
        <v>369.072804083745</v>
      </c>
      <c r="R68" s="7" t="n">
        <f aca="false">SUMIFS(country_annual_ha!T$2:T$556,country_annual_ha!$D$2:$D$556,$A68,country_annual_ha!$E$2:$E$556,$B68)</f>
        <v>104.575613893296</v>
      </c>
      <c r="S68" s="7" t="n">
        <f aca="false">SUMIFS(country_annual_ha!U$2:U$556,country_annual_ha!$D$2:$D$556,$A68,country_annual_ha!$E$2:$E$556,$B68)</f>
        <v>149.749378731464</v>
      </c>
      <c r="T68" s="7" t="n">
        <f aca="false">SUMIFS(country_annual_ha!V$2:V$556,country_annual_ha!$D$2:$D$556,$A68,country_annual_ha!$E$2:$E$556,$B68)</f>
        <v>150.552618299502</v>
      </c>
      <c r="U68" s="7" t="n">
        <f aca="false">SUMIFS(country_annual_ha!W$2:W$556,country_annual_ha!$D$2:$D$556,$A68,country_annual_ha!$E$2:$E$556,$B68)</f>
        <v>505.871231987927</v>
      </c>
      <c r="V68" s="7" t="n">
        <f aca="false">SUMIFS(country_annual_ha!X$2:X$556,country_annual_ha!$D$2:$D$556,$A68,country_annual_ha!$E$2:$E$556,$B68)</f>
        <v>561.120354757263</v>
      </c>
      <c r="W68" s="7" t="n">
        <f aca="false">SUMIFS(country_annual_ha!Y$2:Y$556,country_annual_ha!$D$2:$D$556,$A68,country_annual_ha!$E$2:$E$556,$B68)</f>
        <v>847.587710183161</v>
      </c>
      <c r="X68" s="7" t="n">
        <f aca="false">SUMIFS(country_annual_ha!Z$2:Z$556,country_annual_ha!$D$2:$D$556,$A68,country_annual_ha!$E$2:$E$556,$B68)</f>
        <v>1023.81658897204</v>
      </c>
      <c r="Y68" s="7" t="n">
        <f aca="false">SUMIFS(country_annual_ha!AA$2:AA$556,country_annual_ha!$D$2:$D$556,$A68,country_annual_ha!$E$2:$E$556,$B68)</f>
        <v>1718.11176573397</v>
      </c>
      <c r="Z68" s="7" t="n">
        <f aca="false">SUMIFS(country_annual_ha!AB$2:AB$556,country_annual_ha!$D$2:$D$556,$A68,country_annual_ha!$E$2:$E$556,$B68)</f>
        <v>3240.09535999901</v>
      </c>
    </row>
    <row r="69" customFormat="false" ht="15" hidden="false" customHeight="false" outlineLevel="0" collapsed="false">
      <c r="A69" s="4" t="s">
        <v>75</v>
      </c>
      <c r="B69" s="4" t="s">
        <v>92</v>
      </c>
      <c r="C69" s="4" t="s">
        <v>76</v>
      </c>
      <c r="D69" s="7" t="n">
        <f aca="false">SUMIFS(country_annual_ha!F$2:F$556,country_annual_ha!$D$2:$D$556,$A69,country_annual_ha!$E$2:$E$556,$B69)</f>
        <v>1625.52934407757</v>
      </c>
      <c r="E69" s="7" t="n">
        <f aca="false">SUMIFS(country_annual_ha!G$2:G$556,country_annual_ha!$D$2:$D$556,$A69,country_annual_ha!$E$2:$E$556,$B69)</f>
        <v>1514.28384710238</v>
      </c>
      <c r="F69" s="7" t="n">
        <f aca="false">SUMIFS(country_annual_ha!H$2:H$556,country_annual_ha!$D$2:$D$556,$A69,country_annual_ha!$E$2:$E$556,$B69)</f>
        <v>1160.41827273937</v>
      </c>
      <c r="G69" s="7" t="n">
        <f aca="false">SUMIFS(country_annual_ha!I$2:I$556,country_annual_ha!$D$2:$D$556,$A69,country_annual_ha!$E$2:$E$556,$B69)</f>
        <v>3102.17630102766</v>
      </c>
      <c r="H69" s="7" t="n">
        <f aca="false">SUMIFS(country_annual_ha!J$2:J$556,country_annual_ha!$D$2:$D$556,$A69,country_annual_ha!$E$2:$E$556,$B69)</f>
        <v>3904.8144491232</v>
      </c>
      <c r="I69" s="7" t="n">
        <f aca="false">SUMIFS(country_annual_ha!K$2:K$556,country_annual_ha!$D$2:$D$556,$A69,country_annual_ha!$E$2:$E$556,$B69)</f>
        <v>953.651196897121</v>
      </c>
      <c r="J69" s="7" t="n">
        <f aca="false">SUMIFS(country_annual_ha!L$2:L$556,country_annual_ha!$D$2:$D$556,$A69,country_annual_ha!$E$2:$E$556,$B69)</f>
        <v>1316.41312949817</v>
      </c>
      <c r="K69" s="7" t="n">
        <f aca="false">SUMIFS(country_annual_ha!M$2:M$556,country_annual_ha!$D$2:$D$556,$A69,country_annual_ha!$E$2:$E$556,$B69)</f>
        <v>1363.32546810181</v>
      </c>
      <c r="L69" s="7" t="n">
        <f aca="false">SUMIFS(country_annual_ha!N$2:N$556,country_annual_ha!$D$2:$D$556,$A69,country_annual_ha!$E$2:$E$556,$B69)</f>
        <v>656.297730836358</v>
      </c>
      <c r="M69" s="7" t="n">
        <f aca="false">SUMIFS(country_annual_ha!O$2:O$556,country_annual_ha!$D$2:$D$556,$A69,country_annual_ha!$E$2:$E$556,$B69)</f>
        <v>297.812846390325</v>
      </c>
      <c r="N69" s="7" t="n">
        <f aca="false">SUMIFS(country_annual_ha!P$2:P$556,country_annual_ha!$D$2:$D$556,$A69,country_annual_ha!$E$2:$E$556,$B69)</f>
        <v>346.692213364781</v>
      </c>
      <c r="O69" s="7" t="n">
        <f aca="false">SUMIFS(country_annual_ha!Q$2:Q$556,country_annual_ha!$D$2:$D$556,$A69,country_annual_ha!$E$2:$E$556,$B69)</f>
        <v>3648.74670985083</v>
      </c>
      <c r="P69" s="7" t="n">
        <f aca="false">SUMIFS(country_annual_ha!R$2:R$556,country_annual_ha!$D$2:$D$556,$A69,country_annual_ha!$E$2:$E$556,$B69)</f>
        <v>2713.94818914048</v>
      </c>
      <c r="Q69" s="7" t="n">
        <f aca="false">SUMIFS(country_annual_ha!S$2:S$556,country_annual_ha!$D$2:$D$556,$A69,country_annual_ha!$E$2:$E$556,$B69)</f>
        <v>2483.42858888326</v>
      </c>
      <c r="R69" s="7" t="n">
        <f aca="false">SUMIFS(country_annual_ha!T$2:T$556,country_annual_ha!$D$2:$D$556,$A69,country_annual_ha!$E$2:$E$556,$B69)</f>
        <v>575.950149945504</v>
      </c>
      <c r="S69" s="7" t="n">
        <f aca="false">SUMIFS(country_annual_ha!U$2:U$556,country_annual_ha!$D$2:$D$556,$A69,country_annual_ha!$E$2:$E$556,$B69)</f>
        <v>1361.88443579438</v>
      </c>
      <c r="T69" s="7" t="n">
        <f aca="false">SUMIFS(country_annual_ha!V$2:V$556,country_annual_ha!$D$2:$D$556,$A69,country_annual_ha!$E$2:$E$556,$B69)</f>
        <v>2715.63472703226</v>
      </c>
      <c r="U69" s="7" t="n">
        <f aca="false">SUMIFS(country_annual_ha!W$2:W$556,country_annual_ha!$D$2:$D$556,$A69,country_annual_ha!$E$2:$E$556,$B69)</f>
        <v>1018.48092674075</v>
      </c>
      <c r="V69" s="7" t="n">
        <f aca="false">SUMIFS(country_annual_ha!X$2:X$556,country_annual_ha!$D$2:$D$556,$A69,country_annual_ha!$E$2:$E$556,$B69)</f>
        <v>1299.35774295112</v>
      </c>
      <c r="W69" s="7" t="n">
        <f aca="false">SUMIFS(country_annual_ha!Y$2:Y$556,country_annual_ha!$D$2:$D$556,$A69,country_annual_ha!$E$2:$E$556,$B69)</f>
        <v>467.490717980997</v>
      </c>
      <c r="X69" s="7" t="n">
        <f aca="false">SUMIFS(country_annual_ha!Z$2:Z$556,country_annual_ha!$D$2:$D$556,$A69,country_annual_ha!$E$2:$E$556,$B69)</f>
        <v>525.933697171832</v>
      </c>
      <c r="Y69" s="7" t="n">
        <f aca="false">SUMIFS(country_annual_ha!AA$2:AA$556,country_annual_ha!$D$2:$D$556,$A69,country_annual_ha!$E$2:$E$556,$B69)</f>
        <v>374.408830640016</v>
      </c>
      <c r="Z69" s="7" t="n">
        <f aca="false">SUMIFS(country_annual_ha!AB$2:AB$556,country_annual_ha!$D$2:$D$556,$A69,country_annual_ha!$E$2:$E$556,$B69)</f>
        <v>1109.73993888941</v>
      </c>
    </row>
    <row r="70" customFormat="false" ht="15" hidden="false" customHeight="false" outlineLevel="0" collapsed="false">
      <c r="A70" s="4" t="s">
        <v>75</v>
      </c>
      <c r="B70" s="4" t="s">
        <v>93</v>
      </c>
      <c r="C70" s="4" t="s">
        <v>76</v>
      </c>
      <c r="D70" s="7" t="n">
        <f aca="false">SUMIFS(country_annual_ha!F$2:F$556,country_annual_ha!$D$2:$D$556,$A70,country_annual_ha!$E$2:$E$556,$B70)</f>
        <v>1.66286201723922</v>
      </c>
      <c r="E70" s="7" t="n">
        <f aca="false">SUMIFS(country_annual_ha!G$2:G$556,country_annual_ha!$D$2:$D$556,$A70,country_annual_ha!$E$2:$E$556,$B70)</f>
        <v>2.91114482773285</v>
      </c>
      <c r="F70" s="7" t="n">
        <f aca="false">SUMIFS(country_annual_ha!H$2:H$556,country_annual_ha!$D$2:$D$556,$A70,country_annual_ha!$E$2:$E$556,$B70)</f>
        <v>9.09710034971384</v>
      </c>
      <c r="G70" s="7" t="n">
        <f aca="false">SUMIFS(country_annual_ha!I$2:I$556,country_annual_ha!$D$2:$D$556,$A70,country_annual_ha!$E$2:$E$556,$B70)</f>
        <v>21.2400254599427</v>
      </c>
      <c r="H70" s="7" t="n">
        <f aca="false">SUMIFS(country_annual_ha!J$2:J$556,country_annual_ha!$D$2:$D$556,$A70,country_annual_ha!$E$2:$E$556,$B70)</f>
        <v>5.78266446109668</v>
      </c>
      <c r="I70" s="7" t="n">
        <f aca="false">SUMIFS(country_annual_ha!K$2:K$556,country_annual_ha!$D$2:$D$556,$A70,country_annual_ha!$E$2:$E$556,$B70)</f>
        <v>6.58091292878702</v>
      </c>
      <c r="J70" s="7" t="n">
        <f aca="false">SUMIFS(country_annual_ha!L$2:L$556,country_annual_ha!$D$2:$D$556,$A70,country_annual_ha!$E$2:$E$556,$B70)</f>
        <v>18.5124334107887</v>
      </c>
      <c r="K70" s="7" t="n">
        <f aca="false">SUMIFS(country_annual_ha!M$2:M$556,country_annual_ha!$D$2:$D$556,$A70,country_annual_ha!$E$2:$E$556,$B70)</f>
        <v>14.3727796668456</v>
      </c>
      <c r="L70" s="7" t="n">
        <f aca="false">SUMIFS(country_annual_ha!N$2:N$556,country_annual_ha!$D$2:$D$556,$A70,country_annual_ha!$E$2:$E$556,$B70)</f>
        <v>8.15863757641184</v>
      </c>
      <c r="M70" s="7" t="n">
        <f aca="false">SUMIFS(country_annual_ha!O$2:O$556,country_annual_ha!$D$2:$D$556,$A70,country_annual_ha!$E$2:$E$556,$B70)</f>
        <v>12.000785432981</v>
      </c>
      <c r="N70" s="7" t="n">
        <f aca="false">SUMIFS(country_annual_ha!P$2:P$556,country_annual_ha!$D$2:$D$556,$A70,country_annual_ha!$E$2:$E$556,$B70)</f>
        <v>29.2418373268091</v>
      </c>
      <c r="O70" s="7" t="n">
        <f aca="false">SUMIFS(country_annual_ha!Q$2:Q$556,country_annual_ha!$D$2:$D$556,$A70,country_annual_ha!$E$2:$E$556,$B70)</f>
        <v>0</v>
      </c>
      <c r="P70" s="7" t="n">
        <f aca="false">SUMIFS(country_annual_ha!R$2:R$556,country_annual_ha!$D$2:$D$556,$A70,country_annual_ha!$E$2:$E$556,$B70)</f>
        <v>0</v>
      </c>
      <c r="Q70" s="7" t="n">
        <f aca="false">SUMIFS(country_annual_ha!S$2:S$556,country_annual_ha!$D$2:$D$556,$A70,country_annual_ha!$E$2:$E$556,$B70)</f>
        <v>0</v>
      </c>
      <c r="R70" s="7" t="n">
        <f aca="false">SUMIFS(country_annual_ha!T$2:T$556,country_annual_ha!$D$2:$D$556,$A70,country_annual_ha!$E$2:$E$556,$B70)</f>
        <v>0</v>
      </c>
      <c r="S70" s="7" t="n">
        <f aca="false">SUMIFS(country_annual_ha!U$2:U$556,country_annual_ha!$D$2:$D$556,$A70,country_annual_ha!$E$2:$E$556,$B70)</f>
        <v>0</v>
      </c>
      <c r="T70" s="7" t="n">
        <f aca="false">SUMIFS(country_annual_ha!V$2:V$556,country_annual_ha!$D$2:$D$556,$A70,country_annual_ha!$E$2:$E$556,$B70)</f>
        <v>0</v>
      </c>
      <c r="U70" s="7" t="n">
        <f aca="false">SUMIFS(country_annual_ha!W$2:W$556,country_annual_ha!$D$2:$D$556,$A70,country_annual_ha!$E$2:$E$556,$B70)</f>
        <v>0</v>
      </c>
      <c r="V70" s="7" t="n">
        <f aca="false">SUMIFS(country_annual_ha!X$2:X$556,country_annual_ha!$D$2:$D$556,$A70,country_annual_ha!$E$2:$E$556,$B70)</f>
        <v>0</v>
      </c>
      <c r="W70" s="7" t="n">
        <f aca="false">SUMIFS(country_annual_ha!Y$2:Y$556,country_annual_ha!$D$2:$D$556,$A70,country_annual_ha!$E$2:$E$556,$B70)</f>
        <v>0</v>
      </c>
      <c r="X70" s="7" t="n">
        <f aca="false">SUMIFS(country_annual_ha!Z$2:Z$556,country_annual_ha!$D$2:$D$556,$A70,country_annual_ha!$E$2:$E$556,$B70)</f>
        <v>0</v>
      </c>
      <c r="Y70" s="7" t="n">
        <f aca="false">SUMIFS(country_annual_ha!AA$2:AA$556,country_annual_ha!$D$2:$D$556,$A70,country_annual_ha!$E$2:$E$556,$B70)</f>
        <v>0</v>
      </c>
      <c r="Z70" s="7" t="n">
        <f aca="false">SUMIFS(country_annual_ha!AB$2:AB$556,country_annual_ha!$D$2:$D$556,$A70,country_annual_ha!$E$2:$E$556,$B70)</f>
        <v>0</v>
      </c>
    </row>
    <row r="71" customFormat="false" ht="15" hidden="false" customHeight="false" outlineLevel="0" collapsed="false">
      <c r="A71" s="4" t="s">
        <v>77</v>
      </c>
      <c r="B71" s="4" t="s">
        <v>91</v>
      </c>
      <c r="C71" s="4" t="s">
        <v>78</v>
      </c>
      <c r="D71" s="7" t="n">
        <f aca="false">SUMIFS(country_annual_ha!F$2:F$556,country_annual_ha!$D$2:$D$556,$A71,country_annual_ha!$E$2:$E$556,$B71)</f>
        <v>306.332030143812</v>
      </c>
      <c r="E71" s="7" t="n">
        <f aca="false">SUMIFS(country_annual_ha!G$2:G$556,country_annual_ha!$D$2:$D$556,$A71,country_annual_ha!$E$2:$E$556,$B71)</f>
        <v>257.967705899146</v>
      </c>
      <c r="F71" s="7" t="n">
        <f aca="false">SUMIFS(country_annual_ha!H$2:H$556,country_annual_ha!$D$2:$D$556,$A71,country_annual_ha!$E$2:$E$556,$B71)</f>
        <v>211.408304057845</v>
      </c>
      <c r="G71" s="7" t="n">
        <f aca="false">SUMIFS(country_annual_ha!I$2:I$556,country_annual_ha!$D$2:$D$556,$A71,country_annual_ha!$E$2:$E$556,$B71)</f>
        <v>115.600513483574</v>
      </c>
      <c r="H71" s="7" t="n">
        <f aca="false">SUMIFS(country_annual_ha!J$2:J$556,country_annual_ha!$D$2:$D$556,$A71,country_annual_ha!$E$2:$E$556,$B71)</f>
        <v>58.036778014733</v>
      </c>
      <c r="I71" s="7" t="n">
        <f aca="false">SUMIFS(country_annual_ha!K$2:K$556,country_annual_ha!$D$2:$D$556,$A71,country_annual_ha!$E$2:$E$556,$B71)</f>
        <v>50.7443803718763</v>
      </c>
      <c r="J71" s="7" t="n">
        <f aca="false">SUMIFS(country_annual_ha!L$2:L$556,country_annual_ha!$D$2:$D$556,$A71,country_annual_ha!$E$2:$E$556,$B71)</f>
        <v>80.8999052699358</v>
      </c>
      <c r="K71" s="7" t="n">
        <f aca="false">SUMIFS(country_annual_ha!M$2:M$556,country_annual_ha!$D$2:$D$556,$A71,country_annual_ha!$E$2:$E$556,$B71)</f>
        <v>124.16531432766</v>
      </c>
      <c r="L71" s="7" t="n">
        <f aca="false">SUMIFS(country_annual_ha!N$2:N$556,country_annual_ha!$D$2:$D$556,$A71,country_annual_ha!$E$2:$E$556,$B71)</f>
        <v>86.2952973507288</v>
      </c>
      <c r="M71" s="7" t="n">
        <f aca="false">SUMIFS(country_annual_ha!O$2:O$556,country_annual_ha!$D$2:$D$556,$A71,country_annual_ha!$E$2:$E$556,$B71)</f>
        <v>75.2422216661781</v>
      </c>
      <c r="N71" s="7" t="n">
        <f aca="false">SUMIFS(country_annual_ha!P$2:P$556,country_annual_ha!$D$2:$D$556,$A71,country_annual_ha!$E$2:$E$556,$B71)</f>
        <v>59.1740616669615</v>
      </c>
      <c r="O71" s="7" t="n">
        <f aca="false">SUMIFS(country_annual_ha!Q$2:Q$556,country_annual_ha!$D$2:$D$556,$A71,country_annual_ha!$E$2:$E$556,$B71)</f>
        <v>224.024658195774</v>
      </c>
      <c r="P71" s="7" t="n">
        <f aca="false">SUMIFS(country_annual_ha!R$2:R$556,country_annual_ha!$D$2:$D$556,$A71,country_annual_ha!$E$2:$E$556,$B71)</f>
        <v>73.9745333357882</v>
      </c>
      <c r="Q71" s="7" t="n">
        <f aca="false">SUMIFS(country_annual_ha!S$2:S$556,country_annual_ha!$D$2:$D$556,$A71,country_annual_ha!$E$2:$E$556,$B71)</f>
        <v>94.2638019768963</v>
      </c>
      <c r="R71" s="7" t="n">
        <f aca="false">SUMIFS(country_annual_ha!T$2:T$556,country_annual_ha!$D$2:$D$556,$A71,country_annual_ha!$E$2:$E$556,$B71)</f>
        <v>148.768781296409</v>
      </c>
      <c r="S71" s="7" t="n">
        <f aca="false">SUMIFS(country_annual_ha!U$2:U$556,country_annual_ha!$D$2:$D$556,$A71,country_annual_ha!$E$2:$E$556,$B71)</f>
        <v>217.105858787635</v>
      </c>
      <c r="T71" s="7" t="n">
        <f aca="false">SUMIFS(country_annual_ha!V$2:V$556,country_annual_ha!$D$2:$D$556,$A71,country_annual_ha!$E$2:$E$556,$B71)</f>
        <v>280.508316222078</v>
      </c>
      <c r="U71" s="7" t="n">
        <f aca="false">SUMIFS(country_annual_ha!W$2:W$556,country_annual_ha!$D$2:$D$556,$A71,country_annual_ha!$E$2:$E$556,$B71)</f>
        <v>129.419719540252</v>
      </c>
      <c r="V71" s="7" t="n">
        <f aca="false">SUMIFS(country_annual_ha!X$2:X$556,country_annual_ha!$D$2:$D$556,$A71,country_annual_ha!$E$2:$E$556,$B71)</f>
        <v>62.2919235761926</v>
      </c>
      <c r="W71" s="7" t="n">
        <f aca="false">SUMIFS(country_annual_ha!Y$2:Y$556,country_annual_ha!$D$2:$D$556,$A71,country_annual_ha!$E$2:$E$556,$B71)</f>
        <v>5.16945903255577</v>
      </c>
      <c r="X71" s="7" t="n">
        <f aca="false">SUMIFS(country_annual_ha!Z$2:Z$556,country_annual_ha!$D$2:$D$556,$A71,country_annual_ha!$E$2:$E$556,$B71)</f>
        <v>0.919430807454821</v>
      </c>
      <c r="Y71" s="7" t="n">
        <f aca="false">SUMIFS(country_annual_ha!AA$2:AA$556,country_annual_ha!$D$2:$D$556,$A71,country_annual_ha!$E$2:$E$556,$B71)</f>
        <v>2.03414957129224</v>
      </c>
      <c r="Z71" s="7" t="n">
        <f aca="false">SUMIFS(country_annual_ha!AB$2:AB$556,country_annual_ha!$D$2:$D$556,$A71,country_annual_ha!$E$2:$E$556,$B71)</f>
        <v>7.3593488611643</v>
      </c>
    </row>
    <row r="72" customFormat="false" ht="15" hidden="false" customHeight="false" outlineLevel="0" collapsed="false">
      <c r="A72" s="4" t="s">
        <v>77</v>
      </c>
      <c r="B72" s="4" t="s">
        <v>92</v>
      </c>
      <c r="C72" s="4" t="s">
        <v>78</v>
      </c>
      <c r="D72" s="7" t="n">
        <f aca="false">SUMIFS(country_annual_ha!F$2:F$556,country_annual_ha!$D$2:$D$556,$A72,country_annual_ha!$E$2:$E$556,$B72)</f>
        <v>41.0328605477289</v>
      </c>
      <c r="E72" s="7" t="n">
        <f aca="false">SUMIFS(country_annual_ha!G$2:G$556,country_annual_ha!$D$2:$D$556,$A72,country_annual_ha!$E$2:$E$556,$B72)</f>
        <v>10.5189784050884</v>
      </c>
      <c r="F72" s="7" t="n">
        <f aca="false">SUMIFS(country_annual_ha!H$2:H$556,country_annual_ha!$D$2:$D$556,$A72,country_annual_ha!$E$2:$E$556,$B72)</f>
        <v>5.3247228961878</v>
      </c>
      <c r="G72" s="7" t="n">
        <f aca="false">SUMIFS(country_annual_ha!I$2:I$556,country_annual_ha!$D$2:$D$556,$A72,country_annual_ha!$E$2:$E$556,$B72)</f>
        <v>6.87660995431046</v>
      </c>
      <c r="H72" s="7" t="n">
        <f aca="false">SUMIFS(country_annual_ha!J$2:J$556,country_annual_ha!$D$2:$D$556,$A72,country_annual_ha!$E$2:$E$556,$B72)</f>
        <v>44.433216918185</v>
      </c>
      <c r="I72" s="7" t="n">
        <f aca="false">SUMIFS(country_annual_ha!K$2:K$556,country_annual_ha!$D$2:$D$556,$A72,country_annual_ha!$E$2:$E$556,$B72)</f>
        <v>30.0829054507557</v>
      </c>
      <c r="J72" s="7" t="n">
        <f aca="false">SUMIFS(country_annual_ha!L$2:L$556,country_annual_ha!$D$2:$D$556,$A72,country_annual_ha!$E$2:$E$556,$B72)</f>
        <v>35.7915523625497</v>
      </c>
      <c r="K72" s="7" t="n">
        <f aca="false">SUMIFS(country_annual_ha!M$2:M$556,country_annual_ha!$D$2:$D$556,$A72,country_annual_ha!$E$2:$E$556,$B72)</f>
        <v>54.4166646905084</v>
      </c>
      <c r="L72" s="7" t="n">
        <f aca="false">SUMIFS(country_annual_ha!N$2:N$556,country_annual_ha!$D$2:$D$556,$A72,country_annual_ha!$E$2:$E$556,$B72)</f>
        <v>39.6406039941451</v>
      </c>
      <c r="M72" s="7" t="n">
        <f aca="false">SUMIFS(country_annual_ha!O$2:O$556,country_annual_ha!$D$2:$D$556,$A72,country_annual_ha!$E$2:$E$556,$B72)</f>
        <v>37.7428953660961</v>
      </c>
      <c r="N72" s="7" t="n">
        <f aca="false">SUMIFS(country_annual_ha!P$2:P$556,country_annual_ha!$D$2:$D$556,$A72,country_annual_ha!$E$2:$E$556,$B72)</f>
        <v>52.5373424675176</v>
      </c>
      <c r="O72" s="7" t="n">
        <f aca="false">SUMIFS(country_annual_ha!Q$2:Q$556,country_annual_ha!$D$2:$D$556,$A72,country_annual_ha!$E$2:$E$556,$B72)</f>
        <v>123.34666436134</v>
      </c>
      <c r="P72" s="7" t="n">
        <f aca="false">SUMIFS(country_annual_ha!R$2:R$556,country_annual_ha!$D$2:$D$556,$A72,country_annual_ha!$E$2:$E$556,$B72)</f>
        <v>17.0872406192291</v>
      </c>
      <c r="Q72" s="7" t="n">
        <f aca="false">SUMIFS(country_annual_ha!S$2:S$556,country_annual_ha!$D$2:$D$556,$A72,country_annual_ha!$E$2:$E$556,$B72)</f>
        <v>3.48148510442209</v>
      </c>
      <c r="R72" s="7" t="n">
        <f aca="false">SUMIFS(country_annual_ha!T$2:T$556,country_annual_ha!$D$2:$D$556,$A72,country_annual_ha!$E$2:$E$556,$B72)</f>
        <v>3.75413880742376</v>
      </c>
      <c r="S72" s="7" t="n">
        <f aca="false">SUMIFS(country_annual_ha!U$2:U$556,country_annual_ha!$D$2:$D$556,$A72,country_annual_ha!$E$2:$E$556,$B72)</f>
        <v>3.28332139778497</v>
      </c>
      <c r="T72" s="7" t="n">
        <f aca="false">SUMIFS(country_annual_ha!V$2:V$556,country_annual_ha!$D$2:$D$556,$A72,country_annual_ha!$E$2:$E$556,$B72)</f>
        <v>7.09367192921529</v>
      </c>
      <c r="U72" s="7" t="n">
        <f aca="false">SUMIFS(country_annual_ha!W$2:W$556,country_annual_ha!$D$2:$D$556,$A72,country_annual_ha!$E$2:$E$556,$B72)</f>
        <v>2.73058377805797</v>
      </c>
      <c r="V72" s="7" t="n">
        <f aca="false">SUMIFS(country_annual_ha!X$2:X$556,country_annual_ha!$D$2:$D$556,$A72,country_annual_ha!$E$2:$E$556,$B72)</f>
        <v>3.96445677616904</v>
      </c>
      <c r="W72" s="7" t="n">
        <f aca="false">SUMIFS(country_annual_ha!Y$2:Y$556,country_annual_ha!$D$2:$D$556,$A72,country_annual_ha!$E$2:$E$556,$B72)</f>
        <v>2.24083872408703</v>
      </c>
      <c r="X72" s="7" t="n">
        <f aca="false">SUMIFS(country_annual_ha!Z$2:Z$556,country_annual_ha!$D$2:$D$556,$A72,country_annual_ha!$E$2:$E$556,$B72)</f>
        <v>1.81241617873662</v>
      </c>
      <c r="Y72" s="7" t="n">
        <f aca="false">SUMIFS(country_annual_ha!AA$2:AA$556,country_annual_ha!$D$2:$D$556,$A72,country_annual_ha!$E$2:$E$556,$B72)</f>
        <v>2.91314977766601</v>
      </c>
      <c r="Z72" s="7" t="n">
        <f aca="false">SUMIFS(country_annual_ha!AB$2:AB$556,country_annual_ha!$D$2:$D$556,$A72,country_annual_ha!$E$2:$E$556,$B72)</f>
        <v>3.4735799817042</v>
      </c>
    </row>
    <row r="73" customFormat="false" ht="15" hidden="false" customHeight="false" outlineLevel="0" collapsed="false">
      <c r="A73" s="4" t="s">
        <v>77</v>
      </c>
      <c r="B73" s="4" t="s">
        <v>93</v>
      </c>
      <c r="C73" s="4" t="s">
        <v>78</v>
      </c>
      <c r="D73" s="7" t="n">
        <f aca="false">SUMIFS(country_annual_ha!F$2:F$556,country_annual_ha!$D$2:$D$556,$A73,country_annual_ha!$E$2:$E$556,$B73)</f>
        <v>7.29307062339581</v>
      </c>
      <c r="E73" s="7" t="n">
        <f aca="false">SUMIFS(country_annual_ha!G$2:G$556,country_annual_ha!$D$2:$D$556,$A73,country_annual_ha!$E$2:$E$556,$B73)</f>
        <v>25.2865813882151</v>
      </c>
      <c r="F73" s="7" t="n">
        <f aca="false">SUMIFS(country_annual_ha!H$2:H$556,country_annual_ha!$D$2:$D$556,$A73,country_annual_ha!$E$2:$E$556,$B73)</f>
        <v>10.6022981298126</v>
      </c>
      <c r="G73" s="7" t="n">
        <f aca="false">SUMIFS(country_annual_ha!I$2:I$556,country_annual_ha!$D$2:$D$556,$A73,country_annual_ha!$E$2:$E$556,$B73)</f>
        <v>16.4318785831209</v>
      </c>
      <c r="H73" s="7" t="n">
        <f aca="false">SUMIFS(country_annual_ha!J$2:J$556,country_annual_ha!$D$2:$D$556,$A73,country_annual_ha!$E$2:$E$556,$B73)</f>
        <v>18.5921480990691</v>
      </c>
      <c r="I73" s="7" t="n">
        <f aca="false">SUMIFS(country_annual_ha!K$2:K$556,country_annual_ha!$D$2:$D$556,$A73,country_annual_ha!$E$2:$E$556,$B73)</f>
        <v>12.0800155919475</v>
      </c>
      <c r="J73" s="7" t="n">
        <f aca="false">SUMIFS(country_annual_ha!L$2:L$556,country_annual_ha!$D$2:$D$556,$A73,country_annual_ha!$E$2:$E$556,$B73)</f>
        <v>14.9297682142517</v>
      </c>
      <c r="K73" s="7" t="n">
        <f aca="false">SUMIFS(country_annual_ha!M$2:M$556,country_annual_ha!$D$2:$D$556,$A73,country_annual_ha!$E$2:$E$556,$B73)</f>
        <v>19.3171067350292</v>
      </c>
      <c r="L73" s="7" t="n">
        <f aca="false">SUMIFS(country_annual_ha!N$2:N$556,country_annual_ha!$D$2:$D$556,$A73,country_annual_ha!$E$2:$E$556,$B73)</f>
        <v>16.0928860961254</v>
      </c>
      <c r="M73" s="7" t="n">
        <f aca="false">SUMIFS(country_annual_ha!O$2:O$556,country_annual_ha!$D$2:$D$556,$A73,country_annual_ha!$E$2:$E$556,$B73)</f>
        <v>0.0113340200437867</v>
      </c>
      <c r="N73" s="7" t="n">
        <f aca="false">SUMIFS(country_annual_ha!P$2:P$556,country_annual_ha!$D$2:$D$556,$A73,country_annual_ha!$E$2:$E$556,$B73)</f>
        <v>0.0015026243866185</v>
      </c>
      <c r="O73" s="7" t="n">
        <f aca="false">SUMIFS(country_annual_ha!Q$2:Q$556,country_annual_ha!$D$2:$D$556,$A73,country_annual_ha!$E$2:$E$556,$B73)</f>
        <v>0.00499291094193978</v>
      </c>
      <c r="P73" s="7" t="n">
        <f aca="false">SUMIFS(country_annual_ha!R$2:R$556,country_annual_ha!$D$2:$D$556,$A73,country_annual_ha!$E$2:$E$556,$B73)</f>
        <v>2.67249485752574</v>
      </c>
      <c r="Q73" s="7" t="n">
        <f aca="false">SUMIFS(country_annual_ha!S$2:S$556,country_annual_ha!$D$2:$D$556,$A73,country_annual_ha!$E$2:$E$556,$B73)</f>
        <v>1.69774954987603</v>
      </c>
      <c r="R73" s="7" t="n">
        <f aca="false">SUMIFS(country_annual_ha!T$2:T$556,country_annual_ha!$D$2:$D$556,$A73,country_annual_ha!$E$2:$E$556,$B73)</f>
        <v>1.90059546130542</v>
      </c>
      <c r="S73" s="7" t="n">
        <f aca="false">SUMIFS(country_annual_ha!U$2:U$556,country_annual_ha!$D$2:$D$556,$A73,country_annual_ha!$E$2:$E$556,$B73)</f>
        <v>2.8237080775198</v>
      </c>
      <c r="T73" s="7" t="n">
        <f aca="false">SUMIFS(country_annual_ha!V$2:V$556,country_annual_ha!$D$2:$D$556,$A73,country_annual_ha!$E$2:$E$556,$B73)</f>
        <v>5.25536140003795</v>
      </c>
      <c r="U73" s="7" t="n">
        <f aca="false">SUMIFS(country_annual_ha!W$2:W$556,country_annual_ha!$D$2:$D$556,$A73,country_annual_ha!$E$2:$E$556,$B73)</f>
        <v>7.39021569414103</v>
      </c>
      <c r="V73" s="7" t="n">
        <f aca="false">SUMIFS(country_annual_ha!X$2:X$556,country_annual_ha!$D$2:$D$556,$A73,country_annual_ha!$E$2:$E$556,$B73)</f>
        <v>7.29746187757571</v>
      </c>
      <c r="W73" s="7" t="n">
        <f aca="false">SUMIFS(country_annual_ha!Y$2:Y$556,country_annual_ha!$D$2:$D$556,$A73,country_annual_ha!$E$2:$E$556,$B73)</f>
        <v>5.50108223603298</v>
      </c>
      <c r="X73" s="7" t="n">
        <f aca="false">SUMIFS(country_annual_ha!Z$2:Z$556,country_annual_ha!$D$2:$D$556,$A73,country_annual_ha!$E$2:$E$556,$B73)</f>
        <v>4.15831655140622</v>
      </c>
      <c r="Y73" s="7" t="n">
        <f aca="false">SUMIFS(country_annual_ha!AA$2:AA$556,country_annual_ha!$D$2:$D$556,$A73,country_annual_ha!$E$2:$E$556,$B73)</f>
        <v>1.2355451212566</v>
      </c>
      <c r="Z73" s="7" t="n">
        <f aca="false">SUMIFS(country_annual_ha!AB$2:AB$556,country_annual_ha!$D$2:$D$556,$A73,country_annual_ha!$E$2:$E$556,$B73)</f>
        <v>4.26734091910898</v>
      </c>
    </row>
    <row r="74" customFormat="false" ht="15" hidden="false" customHeight="false" outlineLevel="0" collapsed="false">
      <c r="A74" s="4" t="s">
        <v>79</v>
      </c>
      <c r="B74" s="4" t="s">
        <v>91</v>
      </c>
      <c r="C74" s="4" t="s">
        <v>80</v>
      </c>
      <c r="D74" s="7" t="n">
        <f aca="false">SUMIFS(country_annual_ha!F$2:F$556,country_annual_ha!$D$2:$D$556,$A74,country_annual_ha!$E$2:$E$556,$B74)</f>
        <v>259653.679679823</v>
      </c>
      <c r="E74" s="7" t="n">
        <f aca="false">SUMIFS(country_annual_ha!G$2:G$556,country_annual_ha!$D$2:$D$556,$A74,country_annual_ha!$E$2:$E$556,$B74)</f>
        <v>249106.701717775</v>
      </c>
      <c r="F74" s="7" t="n">
        <f aca="false">SUMIFS(country_annual_ha!H$2:H$556,country_annual_ha!$D$2:$D$556,$A74,country_annual_ha!$E$2:$E$556,$B74)</f>
        <v>372216.977736881</v>
      </c>
      <c r="G74" s="7" t="n">
        <f aca="false">SUMIFS(country_annual_ha!I$2:I$556,country_annual_ha!$D$2:$D$556,$A74,country_annual_ha!$E$2:$E$556,$B74)</f>
        <v>619096.608715406</v>
      </c>
      <c r="H74" s="7" t="n">
        <f aca="false">SUMIFS(country_annual_ha!J$2:J$556,country_annual_ha!$D$2:$D$556,$A74,country_annual_ha!$E$2:$E$556,$B74)</f>
        <v>637631.198863044</v>
      </c>
      <c r="I74" s="7" t="n">
        <f aca="false">SUMIFS(country_annual_ha!K$2:K$556,country_annual_ha!$D$2:$D$556,$A74,country_annual_ha!$E$2:$E$556,$B74)</f>
        <v>389440.733601613</v>
      </c>
      <c r="J74" s="7" t="n">
        <f aca="false">SUMIFS(country_annual_ha!L$2:L$556,country_annual_ha!$D$2:$D$556,$A74,country_annual_ha!$E$2:$E$556,$B74)</f>
        <v>619681.826642422</v>
      </c>
      <c r="K74" s="7" t="n">
        <f aca="false">SUMIFS(country_annual_ha!M$2:M$556,country_annual_ha!$D$2:$D$556,$A74,country_annual_ha!$E$2:$E$556,$B74)</f>
        <v>906061.565782957</v>
      </c>
      <c r="L74" s="7" t="n">
        <f aca="false">SUMIFS(country_annual_ha!N$2:N$556,country_annual_ha!$D$2:$D$556,$A74,country_annual_ha!$E$2:$E$556,$B74)</f>
        <v>584049.573431499</v>
      </c>
      <c r="M74" s="7" t="n">
        <f aca="false">SUMIFS(country_annual_ha!O$2:O$556,country_annual_ha!$D$2:$D$556,$A74,country_annual_ha!$E$2:$E$556,$B74)</f>
        <v>673547.458054638</v>
      </c>
      <c r="N74" s="7" t="n">
        <f aca="false">SUMIFS(country_annual_ha!P$2:P$556,country_annual_ha!$D$2:$D$556,$A74,country_annual_ha!$E$2:$E$556,$B74)</f>
        <v>566650.611237764</v>
      </c>
      <c r="O74" s="7" t="n">
        <f aca="false">SUMIFS(country_annual_ha!Q$2:Q$556,country_annual_ha!$D$2:$D$556,$A74,country_annual_ha!$E$2:$E$556,$B74)</f>
        <v>769068.406548891</v>
      </c>
      <c r="P74" s="7" t="n">
        <f aca="false">SUMIFS(country_annual_ha!R$2:R$556,country_annual_ha!$D$2:$D$556,$A74,country_annual_ha!$E$2:$E$556,$B74)</f>
        <v>582364.343402662</v>
      </c>
      <c r="Q74" s="7" t="n">
        <f aca="false">SUMIFS(country_annual_ha!S$2:S$556,country_annual_ha!$D$2:$D$556,$A74,country_annual_ha!$E$2:$E$556,$B74)</f>
        <v>546261.389773356</v>
      </c>
      <c r="R74" s="7" t="n">
        <f aca="false">SUMIFS(country_annual_ha!T$2:T$556,country_annual_ha!$D$2:$D$556,$A74,country_annual_ha!$E$2:$E$556,$B74)</f>
        <v>300237.398526482</v>
      </c>
      <c r="S74" s="7" t="n">
        <f aca="false">SUMIFS(country_annual_ha!U$2:U$556,country_annual_ha!$D$2:$D$556,$A74,country_annual_ha!$E$2:$E$556,$B74)</f>
        <v>646867.013821634</v>
      </c>
      <c r="T74" s="7" t="n">
        <f aca="false">SUMIFS(country_annual_ha!V$2:V$556,country_annual_ha!$D$2:$D$556,$A74,country_annual_ha!$E$2:$E$556,$B74)</f>
        <v>712070.76729527</v>
      </c>
      <c r="U74" s="7" t="n">
        <f aca="false">SUMIFS(country_annual_ha!W$2:W$556,country_annual_ha!$D$2:$D$556,$A74,country_annual_ha!$E$2:$E$556,$B74)</f>
        <v>535868.860052222</v>
      </c>
      <c r="V74" s="7" t="n">
        <f aca="false">SUMIFS(country_annual_ha!X$2:X$556,country_annual_ha!$D$2:$D$556,$A74,country_annual_ha!$E$2:$E$556,$B74)</f>
        <v>510846.041889479</v>
      </c>
      <c r="W74" s="7" t="n">
        <f aca="false">SUMIFS(country_annual_ha!Y$2:Y$556,country_annual_ha!$D$2:$D$556,$A74,country_annual_ha!$E$2:$E$556,$B74)</f>
        <v>406398.528287236</v>
      </c>
      <c r="X74" s="7" t="n">
        <f aca="false">SUMIFS(country_annual_ha!Z$2:Z$556,country_annual_ha!$D$2:$D$556,$A74,country_annual_ha!$E$2:$E$556,$B74)</f>
        <v>395583.40942579</v>
      </c>
      <c r="Y74" s="7" t="n">
        <f aca="false">SUMIFS(country_annual_ha!AA$2:AA$556,country_annual_ha!$D$2:$D$556,$A74,country_annual_ha!$E$2:$E$556,$B74)</f>
        <v>348341.356184197</v>
      </c>
      <c r="Z74" s="7" t="n">
        <f aca="false">SUMIFS(country_annual_ha!AB$2:AB$556,country_annual_ha!$D$2:$D$556,$A74,country_annual_ha!$E$2:$E$556,$B74)</f>
        <v>247016.916947676</v>
      </c>
    </row>
    <row r="75" customFormat="false" ht="15" hidden="false" customHeight="false" outlineLevel="0" collapsed="false">
      <c r="A75" s="4" t="s">
        <v>79</v>
      </c>
      <c r="B75" s="4" t="s">
        <v>92</v>
      </c>
      <c r="C75" s="4" t="s">
        <v>80</v>
      </c>
      <c r="D75" s="7" t="n">
        <f aca="false">SUMIFS(country_annual_ha!F$2:F$556,country_annual_ha!$D$2:$D$556,$A75,country_annual_ha!$E$2:$E$556,$B75)</f>
        <v>261663.50538</v>
      </c>
      <c r="E75" s="7" t="n">
        <f aca="false">SUMIFS(country_annual_ha!G$2:G$556,country_annual_ha!$D$2:$D$556,$A75,country_annual_ha!$E$2:$E$556,$B75)</f>
        <v>288152.284663359</v>
      </c>
      <c r="F75" s="7" t="n">
        <f aca="false">SUMIFS(country_annual_ha!H$2:H$556,country_annual_ha!$D$2:$D$556,$A75,country_annual_ha!$E$2:$E$556,$B75)</f>
        <v>260822.313332096</v>
      </c>
      <c r="G75" s="7" t="n">
        <f aca="false">SUMIFS(country_annual_ha!I$2:I$556,country_annual_ha!$D$2:$D$556,$A75,country_annual_ha!$E$2:$E$556,$B75)</f>
        <v>367475.742039326</v>
      </c>
      <c r="H75" s="7" t="n">
        <f aca="false">SUMIFS(country_annual_ha!J$2:J$556,country_annual_ha!$D$2:$D$556,$A75,country_annual_ha!$E$2:$E$556,$B75)</f>
        <v>386822.037590784</v>
      </c>
      <c r="I75" s="7" t="n">
        <f aca="false">SUMIFS(country_annual_ha!K$2:K$556,country_annual_ha!$D$2:$D$556,$A75,country_annual_ha!$E$2:$E$556,$B75)</f>
        <v>337223.141724931</v>
      </c>
      <c r="J75" s="7" t="n">
        <f aca="false">SUMIFS(country_annual_ha!L$2:L$556,country_annual_ha!$D$2:$D$556,$A75,country_annual_ha!$E$2:$E$556,$B75)</f>
        <v>499768.50131681</v>
      </c>
      <c r="K75" s="7" t="n">
        <f aca="false">SUMIFS(country_annual_ha!M$2:M$556,country_annual_ha!$D$2:$D$556,$A75,country_annual_ha!$E$2:$E$556,$B75)</f>
        <v>494827.65394521</v>
      </c>
      <c r="L75" s="7" t="n">
        <f aca="false">SUMIFS(country_annual_ha!N$2:N$556,country_annual_ha!$D$2:$D$556,$A75,country_annual_ha!$E$2:$E$556,$B75)</f>
        <v>468112.117122399</v>
      </c>
      <c r="M75" s="7" t="n">
        <f aca="false">SUMIFS(country_annual_ha!O$2:O$556,country_annual_ha!$D$2:$D$556,$A75,country_annual_ha!$E$2:$E$556,$B75)</f>
        <v>469226.565751969</v>
      </c>
      <c r="N75" s="7" t="n">
        <f aca="false">SUMIFS(country_annual_ha!P$2:P$556,country_annual_ha!$D$2:$D$556,$A75,country_annual_ha!$E$2:$E$556,$B75)</f>
        <v>381281.300158902</v>
      </c>
      <c r="O75" s="7" t="n">
        <f aca="false">SUMIFS(country_annual_ha!Q$2:Q$556,country_annual_ha!$D$2:$D$556,$A75,country_annual_ha!$E$2:$E$556,$B75)</f>
        <v>357219.167206305</v>
      </c>
      <c r="P75" s="7" t="n">
        <f aca="false">SUMIFS(country_annual_ha!R$2:R$556,country_annual_ha!$D$2:$D$556,$A75,country_annual_ha!$E$2:$E$556,$B75)</f>
        <v>268142.823286376</v>
      </c>
      <c r="Q75" s="7" t="n">
        <f aca="false">SUMIFS(country_annual_ha!S$2:S$556,country_annual_ha!$D$2:$D$556,$A75,country_annual_ha!$E$2:$E$556,$B75)</f>
        <v>381164.240189417</v>
      </c>
      <c r="R75" s="7" t="n">
        <f aca="false">SUMIFS(country_annual_ha!T$2:T$556,country_annual_ha!$D$2:$D$556,$A75,country_annual_ha!$E$2:$E$556,$B75)</f>
        <v>302437.813512827</v>
      </c>
      <c r="S75" s="7" t="n">
        <f aca="false">SUMIFS(country_annual_ha!U$2:U$556,country_annual_ha!$D$2:$D$556,$A75,country_annual_ha!$E$2:$E$556,$B75)</f>
        <v>412068.304707316</v>
      </c>
      <c r="T75" s="7" t="n">
        <f aca="false">SUMIFS(country_annual_ha!V$2:V$556,country_annual_ha!$D$2:$D$556,$A75,country_annual_ha!$E$2:$E$556,$B75)</f>
        <v>413792.736810805</v>
      </c>
      <c r="U75" s="7" t="n">
        <f aca="false">SUMIFS(country_annual_ha!W$2:W$556,country_annual_ha!$D$2:$D$556,$A75,country_annual_ha!$E$2:$E$556,$B75)</f>
        <v>419152.416287912</v>
      </c>
      <c r="V75" s="7" t="n">
        <f aca="false">SUMIFS(country_annual_ha!X$2:X$556,country_annual_ha!$D$2:$D$556,$A75,country_annual_ha!$E$2:$E$556,$B75)</f>
        <v>387529.217298584</v>
      </c>
      <c r="W75" s="7" t="n">
        <f aca="false">SUMIFS(country_annual_ha!Y$2:Y$556,country_annual_ha!$D$2:$D$556,$A75,country_annual_ha!$E$2:$E$556,$B75)</f>
        <v>421299.751913474</v>
      </c>
      <c r="X75" s="7" t="n">
        <f aca="false">SUMIFS(country_annual_ha!Z$2:Z$556,country_annual_ha!$D$2:$D$556,$A75,country_annual_ha!$E$2:$E$556,$B75)</f>
        <v>317941.779075093</v>
      </c>
      <c r="Y75" s="7" t="n">
        <f aca="false">SUMIFS(country_annual_ha!AA$2:AA$556,country_annual_ha!$D$2:$D$556,$A75,country_annual_ha!$E$2:$E$556,$B75)</f>
        <v>323512.282128343</v>
      </c>
      <c r="Z75" s="7" t="n">
        <f aca="false">SUMIFS(country_annual_ha!AB$2:AB$556,country_annual_ha!$D$2:$D$556,$A75,country_annual_ha!$E$2:$E$556,$B75)</f>
        <v>233981.670083272</v>
      </c>
    </row>
    <row r="76" customFormat="false" ht="15" hidden="false" customHeight="false" outlineLevel="0" collapsed="false">
      <c r="A76" s="4" t="s">
        <v>79</v>
      </c>
      <c r="B76" s="4" t="s">
        <v>93</v>
      </c>
      <c r="C76" s="4" t="s">
        <v>80</v>
      </c>
      <c r="D76" s="7" t="n">
        <f aca="false">SUMIFS(country_annual_ha!F$2:F$556,country_annual_ha!$D$2:$D$556,$A76,country_annual_ha!$E$2:$E$556,$B76)</f>
        <v>18210.5668217329</v>
      </c>
      <c r="E76" s="7" t="n">
        <f aca="false">SUMIFS(country_annual_ha!G$2:G$556,country_annual_ha!$D$2:$D$556,$A76,country_annual_ha!$E$2:$E$556,$B76)</f>
        <v>15836.7943970315</v>
      </c>
      <c r="F76" s="7" t="n">
        <f aca="false">SUMIFS(country_annual_ha!H$2:H$556,country_annual_ha!$D$2:$D$556,$A76,country_annual_ha!$E$2:$E$556,$B76)</f>
        <v>18460.8679352432</v>
      </c>
      <c r="G76" s="7" t="n">
        <f aca="false">SUMIFS(country_annual_ha!I$2:I$556,country_annual_ha!$D$2:$D$556,$A76,country_annual_ha!$E$2:$E$556,$B76)</f>
        <v>20822.8252070035</v>
      </c>
      <c r="H76" s="7" t="n">
        <f aca="false">SUMIFS(country_annual_ha!J$2:J$556,country_annual_ha!$D$2:$D$556,$A76,country_annual_ha!$E$2:$E$556,$B76)</f>
        <v>23242.9952102781</v>
      </c>
      <c r="I76" s="7" t="n">
        <f aca="false">SUMIFS(country_annual_ha!K$2:K$556,country_annual_ha!$D$2:$D$556,$A76,country_annual_ha!$E$2:$E$556,$B76)</f>
        <v>22212.1689489305</v>
      </c>
      <c r="J76" s="7" t="n">
        <f aca="false">SUMIFS(country_annual_ha!L$2:L$556,country_annual_ha!$D$2:$D$556,$A76,country_annual_ha!$E$2:$E$556,$B76)</f>
        <v>26976.8099663535</v>
      </c>
      <c r="K76" s="7" t="n">
        <f aca="false">SUMIFS(country_annual_ha!M$2:M$556,country_annual_ha!$D$2:$D$556,$A76,country_annual_ha!$E$2:$E$556,$B76)</f>
        <v>29342.8247088525</v>
      </c>
      <c r="L76" s="7" t="n">
        <f aca="false">SUMIFS(country_annual_ha!N$2:N$556,country_annual_ha!$D$2:$D$556,$A76,country_annual_ha!$E$2:$E$556,$B76)</f>
        <v>19127.7437889765</v>
      </c>
      <c r="M76" s="7" t="n">
        <f aca="false">SUMIFS(country_annual_ha!O$2:O$556,country_annual_ha!$D$2:$D$556,$A76,country_annual_ha!$E$2:$E$556,$B76)</f>
        <v>23505.29491379</v>
      </c>
      <c r="N76" s="7" t="n">
        <f aca="false">SUMIFS(country_annual_ha!P$2:P$556,country_annual_ha!$D$2:$D$556,$A76,country_annual_ha!$E$2:$E$556,$B76)</f>
        <v>30573.1865839023</v>
      </c>
      <c r="O76" s="7" t="n">
        <f aca="false">SUMIFS(country_annual_ha!Q$2:Q$556,country_annual_ha!$D$2:$D$556,$A76,country_annual_ha!$E$2:$E$556,$B76)</f>
        <v>44985.0415212676</v>
      </c>
      <c r="P76" s="7" t="n">
        <f aca="false">SUMIFS(country_annual_ha!R$2:R$556,country_annual_ha!$D$2:$D$556,$A76,country_annual_ha!$E$2:$E$556,$B76)</f>
        <v>36885.633783687</v>
      </c>
      <c r="Q76" s="7" t="n">
        <f aca="false">SUMIFS(country_annual_ha!S$2:S$556,country_annual_ha!$D$2:$D$556,$A76,country_annual_ha!$E$2:$E$556,$B76)</f>
        <v>36619.5470084293</v>
      </c>
      <c r="R76" s="7" t="n">
        <f aca="false">SUMIFS(country_annual_ha!T$2:T$556,country_annual_ha!$D$2:$D$556,$A76,country_annual_ha!$E$2:$E$556,$B76)</f>
        <v>32277.1187696998</v>
      </c>
      <c r="S76" s="7" t="n">
        <f aca="false">SUMIFS(country_annual_ha!U$2:U$556,country_annual_ha!$D$2:$D$556,$A76,country_annual_ha!$E$2:$E$556,$B76)</f>
        <v>39270.6028056494</v>
      </c>
      <c r="T76" s="7" t="n">
        <f aca="false">SUMIFS(country_annual_ha!V$2:V$556,country_annual_ha!$D$2:$D$556,$A76,country_annual_ha!$E$2:$E$556,$B76)</f>
        <v>62731.5396866163</v>
      </c>
      <c r="U76" s="7" t="n">
        <f aca="false">SUMIFS(country_annual_ha!W$2:W$556,country_annual_ha!$D$2:$D$556,$A76,country_annual_ha!$E$2:$E$556,$B76)</f>
        <v>34819.3070404599</v>
      </c>
      <c r="V76" s="7" t="n">
        <f aca="false">SUMIFS(country_annual_ha!X$2:X$556,country_annual_ha!$D$2:$D$556,$A76,country_annual_ha!$E$2:$E$556,$B76)</f>
        <v>37722.8280981586</v>
      </c>
      <c r="W76" s="7" t="n">
        <f aca="false">SUMIFS(country_annual_ha!Y$2:Y$556,country_annual_ha!$D$2:$D$556,$A76,country_annual_ha!$E$2:$E$556,$B76)</f>
        <v>32640.6006267637</v>
      </c>
      <c r="X76" s="7" t="n">
        <f aca="false">SUMIFS(country_annual_ha!Z$2:Z$556,country_annual_ha!$D$2:$D$556,$A76,country_annual_ha!$E$2:$E$556,$B76)</f>
        <v>34621.7975449215</v>
      </c>
      <c r="Y76" s="7" t="n">
        <f aca="false">SUMIFS(country_annual_ha!AA$2:AA$556,country_annual_ha!$D$2:$D$556,$A76,country_annual_ha!$E$2:$E$556,$B76)</f>
        <v>35659.4016451152</v>
      </c>
      <c r="Z76" s="7" t="n">
        <f aca="false">SUMIFS(country_annual_ha!AB$2:AB$556,country_annual_ha!$D$2:$D$556,$A76,country_annual_ha!$E$2:$E$556,$B76)</f>
        <v>53191.6412975665</v>
      </c>
    </row>
    <row r="77" customFormat="false" ht="15" hidden="false" customHeight="false" outlineLevel="0" collapsed="false">
      <c r="A77" s="4" t="s">
        <v>81</v>
      </c>
      <c r="B77" s="4" t="s">
        <v>91</v>
      </c>
      <c r="C77" s="4" t="s">
        <v>82</v>
      </c>
      <c r="D77" s="7" t="n">
        <f aca="false">SUMIFS(country_annual_ha!F$2:F$556,country_annual_ha!$D$2:$D$556,$A77,country_annual_ha!$E$2:$E$556,$B77)</f>
        <v>64634.2482679099</v>
      </c>
      <c r="E77" s="7" t="n">
        <f aca="false">SUMIFS(country_annual_ha!G$2:G$556,country_annual_ha!$D$2:$D$556,$A77,country_annual_ha!$E$2:$E$556,$B77)</f>
        <v>96867.8794802165</v>
      </c>
      <c r="F77" s="7" t="n">
        <f aca="false">SUMIFS(country_annual_ha!H$2:H$556,country_annual_ha!$D$2:$D$556,$A77,country_annual_ha!$E$2:$E$556,$B77)</f>
        <v>102626.133912498</v>
      </c>
      <c r="G77" s="7" t="n">
        <f aca="false">SUMIFS(country_annual_ha!I$2:I$556,country_annual_ha!$D$2:$D$556,$A77,country_annual_ha!$E$2:$E$556,$B77)</f>
        <v>141687.594241141</v>
      </c>
      <c r="H77" s="7" t="n">
        <f aca="false">SUMIFS(country_annual_ha!J$2:J$556,country_annual_ha!$D$2:$D$556,$A77,country_annual_ha!$E$2:$E$556,$B77)</f>
        <v>145291.827434084</v>
      </c>
      <c r="I77" s="7" t="n">
        <f aca="false">SUMIFS(country_annual_ha!K$2:K$556,country_annual_ha!$D$2:$D$556,$A77,country_annual_ha!$E$2:$E$556,$B77)</f>
        <v>171109.549666501</v>
      </c>
      <c r="J77" s="7" t="n">
        <f aca="false">SUMIFS(country_annual_ha!L$2:L$556,country_annual_ha!$D$2:$D$556,$A77,country_annual_ha!$E$2:$E$556,$B77)</f>
        <v>186262.197137161</v>
      </c>
      <c r="K77" s="7" t="n">
        <f aca="false">SUMIFS(country_annual_ha!M$2:M$556,country_annual_ha!$D$2:$D$556,$A77,country_annual_ha!$E$2:$E$556,$B77)</f>
        <v>198975.014368598</v>
      </c>
      <c r="L77" s="7" t="n">
        <f aca="false">SUMIFS(country_annual_ha!N$2:N$556,country_annual_ha!$D$2:$D$556,$A77,country_annual_ha!$E$2:$E$556,$B77)</f>
        <v>203544.504118043</v>
      </c>
      <c r="M77" s="7" t="n">
        <f aca="false">SUMIFS(country_annual_ha!O$2:O$556,country_annual_ha!$D$2:$D$556,$A77,country_annual_ha!$E$2:$E$556,$B77)</f>
        <v>163833.239242647</v>
      </c>
      <c r="N77" s="7" t="n">
        <f aca="false">SUMIFS(country_annual_ha!P$2:P$556,country_annual_ha!$D$2:$D$556,$A77,country_annual_ha!$E$2:$E$556,$B77)</f>
        <v>175221.533179454</v>
      </c>
      <c r="O77" s="7" t="n">
        <f aca="false">SUMIFS(country_annual_ha!Q$2:Q$556,country_annual_ha!$D$2:$D$556,$A77,country_annual_ha!$E$2:$E$556,$B77)</f>
        <v>250642.453636851</v>
      </c>
      <c r="P77" s="7" t="n">
        <f aca="false">SUMIFS(country_annual_ha!R$2:R$556,country_annual_ha!$D$2:$D$556,$A77,country_annual_ha!$E$2:$E$556,$B77)</f>
        <v>194294.241944857</v>
      </c>
      <c r="Q77" s="7" t="n">
        <f aca="false">SUMIFS(country_annual_ha!S$2:S$556,country_annual_ha!$D$2:$D$556,$A77,country_annual_ha!$E$2:$E$556,$B77)</f>
        <v>297932.358344046</v>
      </c>
      <c r="R77" s="7" t="n">
        <f aca="false">SUMIFS(country_annual_ha!T$2:T$556,country_annual_ha!$D$2:$D$556,$A77,country_annual_ha!$E$2:$E$556,$B77)</f>
        <v>240507.459027929</v>
      </c>
      <c r="S77" s="7" t="n">
        <f aca="false">SUMIFS(country_annual_ha!U$2:U$556,country_annual_ha!$D$2:$D$556,$A77,country_annual_ha!$E$2:$E$556,$B77)</f>
        <v>315186.21938147</v>
      </c>
      <c r="T77" s="7" t="n">
        <f aca="false">SUMIFS(country_annual_ha!V$2:V$556,country_annual_ha!$D$2:$D$556,$A77,country_annual_ha!$E$2:$E$556,$B77)</f>
        <v>256708.430420787</v>
      </c>
      <c r="U77" s="7" t="n">
        <f aca="false">SUMIFS(country_annual_ha!W$2:W$556,country_annual_ha!$D$2:$D$556,$A77,country_annual_ha!$E$2:$E$556,$B77)</f>
        <v>200747.392851008</v>
      </c>
      <c r="V77" s="7" t="n">
        <f aca="false">SUMIFS(country_annual_ha!X$2:X$556,country_annual_ha!$D$2:$D$556,$A77,country_annual_ha!$E$2:$E$556,$B77)</f>
        <v>166789.202446531</v>
      </c>
      <c r="W77" s="7" t="n">
        <f aca="false">SUMIFS(country_annual_ha!Y$2:Y$556,country_annual_ha!$D$2:$D$556,$A77,country_annual_ha!$E$2:$E$556,$B77)</f>
        <v>165470.026429424</v>
      </c>
      <c r="X77" s="7" t="n">
        <f aca="false">SUMIFS(country_annual_ha!Z$2:Z$556,country_annual_ha!$D$2:$D$556,$A77,country_annual_ha!$E$2:$E$556,$B77)</f>
        <v>153508.282506684</v>
      </c>
      <c r="Y77" s="7" t="n">
        <f aca="false">SUMIFS(country_annual_ha!AA$2:AA$556,country_annual_ha!$D$2:$D$556,$A77,country_annual_ha!$E$2:$E$556,$B77)</f>
        <v>184747.626197767</v>
      </c>
      <c r="Z77" s="7" t="n">
        <f aca="false">SUMIFS(country_annual_ha!AB$2:AB$556,country_annual_ha!$D$2:$D$556,$A77,country_annual_ha!$E$2:$E$556,$B77)</f>
        <v>182462.386377818</v>
      </c>
    </row>
    <row r="78" customFormat="false" ht="15" hidden="false" customHeight="false" outlineLevel="0" collapsed="false">
      <c r="A78" s="4" t="s">
        <v>81</v>
      </c>
      <c r="B78" s="4" t="s">
        <v>92</v>
      </c>
      <c r="C78" s="4" t="s">
        <v>82</v>
      </c>
      <c r="D78" s="7" t="n">
        <f aca="false">SUMIFS(country_annual_ha!F$2:F$556,country_annual_ha!$D$2:$D$556,$A78,country_annual_ha!$E$2:$E$556,$B78)</f>
        <v>41279.5830348783</v>
      </c>
      <c r="E78" s="7" t="n">
        <f aca="false">SUMIFS(country_annual_ha!G$2:G$556,country_annual_ha!$D$2:$D$556,$A78,country_annual_ha!$E$2:$E$556,$B78)</f>
        <v>58653.6351318271</v>
      </c>
      <c r="F78" s="7" t="n">
        <f aca="false">SUMIFS(country_annual_ha!H$2:H$556,country_annual_ha!$D$2:$D$556,$A78,country_annual_ha!$E$2:$E$556,$B78)</f>
        <v>56289.1350896764</v>
      </c>
      <c r="G78" s="7" t="n">
        <f aca="false">SUMIFS(country_annual_ha!I$2:I$556,country_annual_ha!$D$2:$D$556,$A78,country_annual_ha!$E$2:$E$556,$B78)</f>
        <v>69349.6119441505</v>
      </c>
      <c r="H78" s="7" t="n">
        <f aca="false">SUMIFS(country_annual_ha!J$2:J$556,country_annual_ha!$D$2:$D$556,$A78,country_annual_ha!$E$2:$E$556,$B78)</f>
        <v>19838.6519450954</v>
      </c>
      <c r="I78" s="7" t="n">
        <f aca="false">SUMIFS(country_annual_ha!K$2:K$556,country_annual_ha!$D$2:$D$556,$A78,country_annual_ha!$E$2:$E$556,$B78)</f>
        <v>17862.1778572287</v>
      </c>
      <c r="J78" s="7" t="n">
        <f aca="false">SUMIFS(country_annual_ha!L$2:L$556,country_annual_ha!$D$2:$D$556,$A78,country_annual_ha!$E$2:$E$556,$B78)</f>
        <v>16172.8231839234</v>
      </c>
      <c r="K78" s="7" t="n">
        <f aca="false">SUMIFS(country_annual_ha!M$2:M$556,country_annual_ha!$D$2:$D$556,$A78,country_annual_ha!$E$2:$E$556,$B78)</f>
        <v>21337.3103731675</v>
      </c>
      <c r="L78" s="7" t="n">
        <f aca="false">SUMIFS(country_annual_ha!N$2:N$556,country_annual_ha!$D$2:$D$556,$A78,country_annual_ha!$E$2:$E$556,$B78)</f>
        <v>25592.5677232798</v>
      </c>
      <c r="M78" s="7" t="n">
        <f aca="false">SUMIFS(country_annual_ha!O$2:O$556,country_annual_ha!$D$2:$D$556,$A78,country_annual_ha!$E$2:$E$556,$B78)</f>
        <v>27529.7394728846</v>
      </c>
      <c r="N78" s="7" t="n">
        <f aca="false">SUMIFS(country_annual_ha!P$2:P$556,country_annual_ha!$D$2:$D$556,$A78,country_annual_ha!$E$2:$E$556,$B78)</f>
        <v>22672.2538465567</v>
      </c>
      <c r="O78" s="7" t="n">
        <f aca="false">SUMIFS(country_annual_ha!Q$2:Q$556,country_annual_ha!$D$2:$D$556,$A78,country_annual_ha!$E$2:$E$556,$B78)</f>
        <v>17213.1043134594</v>
      </c>
      <c r="P78" s="7" t="n">
        <f aca="false">SUMIFS(country_annual_ha!R$2:R$556,country_annual_ha!$D$2:$D$556,$A78,country_annual_ha!$E$2:$E$556,$B78)</f>
        <v>10190.5196382038</v>
      </c>
      <c r="Q78" s="7" t="n">
        <f aca="false">SUMIFS(country_annual_ha!S$2:S$556,country_annual_ha!$D$2:$D$556,$A78,country_annual_ha!$E$2:$E$556,$B78)</f>
        <v>94812.6390639034</v>
      </c>
      <c r="R78" s="7" t="n">
        <f aca="false">SUMIFS(country_annual_ha!T$2:T$556,country_annual_ha!$D$2:$D$556,$A78,country_annual_ha!$E$2:$E$556,$B78)</f>
        <v>107834.878968403</v>
      </c>
      <c r="S78" s="7" t="n">
        <f aca="false">SUMIFS(country_annual_ha!U$2:U$556,country_annual_ha!$D$2:$D$556,$A78,country_annual_ha!$E$2:$E$556,$B78)</f>
        <v>123034.656533988</v>
      </c>
      <c r="T78" s="7" t="n">
        <f aca="false">SUMIFS(country_annual_ha!V$2:V$556,country_annual_ha!$D$2:$D$556,$A78,country_annual_ha!$E$2:$E$556,$B78)</f>
        <v>60454.6594272257</v>
      </c>
      <c r="U78" s="7" t="n">
        <f aca="false">SUMIFS(country_annual_ha!W$2:W$556,country_annual_ha!$D$2:$D$556,$A78,country_annual_ha!$E$2:$E$556,$B78)</f>
        <v>60145.6912775384</v>
      </c>
      <c r="V78" s="7" t="n">
        <f aca="false">SUMIFS(country_annual_ha!X$2:X$556,country_annual_ha!$D$2:$D$556,$A78,country_annual_ha!$E$2:$E$556,$B78)</f>
        <v>65097.5229582987</v>
      </c>
      <c r="W78" s="7" t="n">
        <f aca="false">SUMIFS(country_annual_ha!Y$2:Y$556,country_annual_ha!$D$2:$D$556,$A78,country_annual_ha!$E$2:$E$556,$B78)</f>
        <v>62575.2498853702</v>
      </c>
      <c r="X78" s="7" t="n">
        <f aca="false">SUMIFS(country_annual_ha!Z$2:Z$556,country_annual_ha!$D$2:$D$556,$A78,country_annual_ha!$E$2:$E$556,$B78)</f>
        <v>67449.7272504502</v>
      </c>
      <c r="Y78" s="7" t="n">
        <f aca="false">SUMIFS(country_annual_ha!AA$2:AA$556,country_annual_ha!$D$2:$D$556,$A78,country_annual_ha!$E$2:$E$556,$B78)</f>
        <v>90546.9912182983</v>
      </c>
      <c r="Z78" s="7" t="n">
        <f aca="false">SUMIFS(country_annual_ha!AB$2:AB$556,country_annual_ha!$D$2:$D$556,$A78,country_annual_ha!$E$2:$E$556,$B78)</f>
        <v>79054.4199240147</v>
      </c>
    </row>
    <row r="79" customFormat="false" ht="15" hidden="false" customHeight="false" outlineLevel="0" collapsed="false">
      <c r="A79" s="4" t="s">
        <v>81</v>
      </c>
      <c r="B79" s="4" t="s">
        <v>93</v>
      </c>
      <c r="C79" s="4" t="s">
        <v>82</v>
      </c>
      <c r="D79" s="7" t="n">
        <f aca="false">SUMIFS(country_annual_ha!F$2:F$556,country_annual_ha!$D$2:$D$556,$A79,country_annual_ha!$E$2:$E$556,$B79)</f>
        <v>10429.1238031533</v>
      </c>
      <c r="E79" s="7" t="n">
        <f aca="false">SUMIFS(country_annual_ha!G$2:G$556,country_annual_ha!$D$2:$D$556,$A79,country_annual_ha!$E$2:$E$556,$B79)</f>
        <v>7483.48252785909</v>
      </c>
      <c r="F79" s="7" t="n">
        <f aca="false">SUMIFS(country_annual_ha!H$2:H$556,country_annual_ha!$D$2:$D$556,$A79,country_annual_ha!$E$2:$E$556,$B79)</f>
        <v>9338.84039942426</v>
      </c>
      <c r="G79" s="7" t="n">
        <f aca="false">SUMIFS(country_annual_ha!I$2:I$556,country_annual_ha!$D$2:$D$556,$A79,country_annual_ha!$E$2:$E$556,$B79)</f>
        <v>15289.3507687465</v>
      </c>
      <c r="H79" s="7" t="n">
        <f aca="false">SUMIFS(country_annual_ha!J$2:J$556,country_annual_ha!$D$2:$D$556,$A79,country_annual_ha!$E$2:$E$556,$B79)</f>
        <v>20489.9186286807</v>
      </c>
      <c r="I79" s="7" t="n">
        <f aca="false">SUMIFS(country_annual_ha!K$2:K$556,country_annual_ha!$D$2:$D$556,$A79,country_annual_ha!$E$2:$E$556,$B79)</f>
        <v>16954.5295127231</v>
      </c>
      <c r="J79" s="7" t="n">
        <f aca="false">SUMIFS(country_annual_ha!L$2:L$556,country_annual_ha!$D$2:$D$556,$A79,country_annual_ha!$E$2:$E$556,$B79)</f>
        <v>21144.0785108434</v>
      </c>
      <c r="K79" s="7" t="n">
        <f aca="false">SUMIFS(country_annual_ha!M$2:M$556,country_annual_ha!$D$2:$D$556,$A79,country_annual_ha!$E$2:$E$556,$B79)</f>
        <v>16820.2118339039</v>
      </c>
      <c r="L79" s="7" t="n">
        <f aca="false">SUMIFS(country_annual_ha!N$2:N$556,country_annual_ha!$D$2:$D$556,$A79,country_annual_ha!$E$2:$E$556,$B79)</f>
        <v>33086.895766927</v>
      </c>
      <c r="M79" s="7" t="n">
        <f aca="false">SUMIFS(country_annual_ha!O$2:O$556,country_annual_ha!$D$2:$D$556,$A79,country_annual_ha!$E$2:$E$556,$B79)</f>
        <v>28220.5265629091</v>
      </c>
      <c r="N79" s="7" t="n">
        <f aca="false">SUMIFS(country_annual_ha!P$2:P$556,country_annual_ha!$D$2:$D$556,$A79,country_annual_ha!$E$2:$E$556,$B79)</f>
        <v>24798.6886398386</v>
      </c>
      <c r="O79" s="7" t="n">
        <f aca="false">SUMIFS(country_annual_ha!Q$2:Q$556,country_annual_ha!$D$2:$D$556,$A79,country_annual_ha!$E$2:$E$556,$B79)</f>
        <v>48174.2668037022</v>
      </c>
      <c r="P79" s="7" t="n">
        <f aca="false">SUMIFS(country_annual_ha!R$2:R$556,country_annual_ha!$D$2:$D$556,$A79,country_annual_ha!$E$2:$E$556,$B79)</f>
        <v>51284.1979013234</v>
      </c>
      <c r="Q79" s="7" t="n">
        <f aca="false">SUMIFS(country_annual_ha!S$2:S$556,country_annual_ha!$D$2:$D$556,$A79,country_annual_ha!$E$2:$E$556,$B79)</f>
        <v>87041.0388485345</v>
      </c>
      <c r="R79" s="7" t="n">
        <f aca="false">SUMIFS(country_annual_ha!T$2:T$556,country_annual_ha!$D$2:$D$556,$A79,country_annual_ha!$E$2:$E$556,$B79)</f>
        <v>97170.7396291384</v>
      </c>
      <c r="S79" s="7" t="n">
        <f aca="false">SUMIFS(country_annual_ha!U$2:U$556,country_annual_ha!$D$2:$D$556,$A79,country_annual_ha!$E$2:$E$556,$B79)</f>
        <v>59327.2870335577</v>
      </c>
      <c r="T79" s="7" t="n">
        <f aca="false">SUMIFS(country_annual_ha!V$2:V$556,country_annual_ha!$D$2:$D$556,$A79,country_annual_ha!$E$2:$E$556,$B79)</f>
        <v>60223.773521346</v>
      </c>
      <c r="U79" s="7" t="n">
        <f aca="false">SUMIFS(country_annual_ha!W$2:W$556,country_annual_ha!$D$2:$D$556,$A79,country_annual_ha!$E$2:$E$556,$B79)</f>
        <v>59636.3891650722</v>
      </c>
      <c r="V79" s="7" t="n">
        <f aca="false">SUMIFS(country_annual_ha!X$2:X$556,country_annual_ha!$D$2:$D$556,$A79,country_annual_ha!$E$2:$E$556,$B79)</f>
        <v>60595.746229016</v>
      </c>
      <c r="W79" s="7" t="n">
        <f aca="false">SUMIFS(country_annual_ha!Y$2:Y$556,country_annual_ha!$D$2:$D$556,$A79,country_annual_ha!$E$2:$E$556,$B79)</f>
        <v>60531.9601015242</v>
      </c>
      <c r="X79" s="7" t="n">
        <f aca="false">SUMIFS(country_annual_ha!Z$2:Z$556,country_annual_ha!$D$2:$D$556,$A79,country_annual_ha!$E$2:$E$556,$B79)</f>
        <v>59701.113882948</v>
      </c>
      <c r="Y79" s="7" t="n">
        <f aca="false">SUMIFS(country_annual_ha!AA$2:AA$556,country_annual_ha!$D$2:$D$556,$A79,country_annual_ha!$E$2:$E$556,$B79)</f>
        <v>58729.5212968367</v>
      </c>
      <c r="Z79" s="7" t="n">
        <f aca="false">SUMIFS(country_annual_ha!AB$2:AB$556,country_annual_ha!$D$2:$D$556,$A79,country_annual_ha!$E$2:$E$556,$B79)</f>
        <v>48485.4168268646</v>
      </c>
    </row>
    <row r="80" customFormat="false" ht="15" hidden="false" customHeight="false" outlineLevel="0" collapsed="false">
      <c r="A80" s="4" t="s">
        <v>83</v>
      </c>
      <c r="B80" s="4" t="s">
        <v>91</v>
      </c>
      <c r="C80" s="4" t="s">
        <v>84</v>
      </c>
      <c r="D80" s="7" t="n">
        <f aca="false">SUMIFS(country_annual_ha!F$2:F$556,country_annual_ha!$D$2:$D$556,$A80,country_annual_ha!$E$2:$E$556,$B80)</f>
        <v>102.410137539039</v>
      </c>
      <c r="E80" s="7" t="n">
        <f aca="false">SUMIFS(country_annual_ha!G$2:G$556,country_annual_ha!$D$2:$D$556,$A80,country_annual_ha!$E$2:$E$556,$B80)</f>
        <v>94.1468815830844</v>
      </c>
      <c r="F80" s="7" t="n">
        <f aca="false">SUMIFS(country_annual_ha!H$2:H$556,country_annual_ha!$D$2:$D$556,$A80,country_annual_ha!$E$2:$E$556,$B80)</f>
        <v>30.7995946472168</v>
      </c>
      <c r="G80" s="7" t="n">
        <f aca="false">SUMIFS(country_annual_ha!I$2:I$556,country_annual_ha!$D$2:$D$556,$A80,country_annual_ha!$E$2:$E$556,$B80)</f>
        <v>75.0891912790814</v>
      </c>
      <c r="H80" s="7" t="n">
        <f aca="false">SUMIFS(country_annual_ha!J$2:J$556,country_annual_ha!$D$2:$D$556,$A80,country_annual_ha!$E$2:$E$556,$B80)</f>
        <v>46.7214659484864</v>
      </c>
      <c r="I80" s="7" t="n">
        <f aca="false">SUMIFS(country_annual_ha!K$2:K$556,country_annual_ha!$D$2:$D$556,$A80,country_annual_ha!$E$2:$E$556,$B80)</f>
        <v>93.913075366211</v>
      </c>
      <c r="J80" s="7" t="n">
        <f aca="false">SUMIFS(country_annual_ha!L$2:L$556,country_annual_ha!$D$2:$D$556,$A80,country_annual_ha!$E$2:$E$556,$B80)</f>
        <v>43.0895916748047</v>
      </c>
      <c r="K80" s="7" t="n">
        <f aca="false">SUMIFS(country_annual_ha!M$2:M$556,country_annual_ha!$D$2:$D$556,$A80,country_annual_ha!$E$2:$E$556,$B80)</f>
        <v>136.004769102879</v>
      </c>
      <c r="L80" s="7" t="n">
        <f aca="false">SUMIFS(country_annual_ha!N$2:N$556,country_annual_ha!$D$2:$D$556,$A80,country_annual_ha!$E$2:$E$556,$B80)</f>
        <v>335.159128022163</v>
      </c>
      <c r="M80" s="7" t="n">
        <f aca="false">SUMIFS(country_annual_ha!O$2:O$556,country_annual_ha!$D$2:$D$556,$A80,country_annual_ha!$E$2:$E$556,$B80)</f>
        <v>284.950974021279</v>
      </c>
      <c r="N80" s="7" t="n">
        <f aca="false">SUMIFS(country_annual_ha!P$2:P$556,country_annual_ha!$D$2:$D$556,$A80,country_annual_ha!$E$2:$E$556,$B80)</f>
        <v>193.664731554556</v>
      </c>
      <c r="O80" s="7" t="n">
        <f aca="false">SUMIFS(country_annual_ha!Q$2:Q$556,country_annual_ha!$D$2:$D$556,$A80,country_annual_ha!$E$2:$E$556,$B80)</f>
        <v>184.840089485605</v>
      </c>
      <c r="P80" s="7" t="n">
        <f aca="false">SUMIFS(country_annual_ha!R$2:R$556,country_annual_ha!$D$2:$D$556,$A80,country_annual_ha!$E$2:$E$556,$B80)</f>
        <v>45.9707353820801</v>
      </c>
      <c r="Q80" s="7" t="n">
        <f aca="false">SUMIFS(country_annual_ha!S$2:S$556,country_annual_ha!$D$2:$D$556,$A80,country_annual_ha!$E$2:$E$556,$B80)</f>
        <v>93.2499362060547</v>
      </c>
      <c r="R80" s="7" t="n">
        <f aca="false">SUMIFS(country_annual_ha!T$2:T$556,country_annual_ha!$D$2:$D$556,$A80,country_annual_ha!$E$2:$E$556,$B80)</f>
        <v>96.5057879547718</v>
      </c>
      <c r="S80" s="7" t="n">
        <f aca="false">SUMIFS(country_annual_ha!U$2:U$556,country_annual_ha!$D$2:$D$556,$A80,country_annual_ha!$E$2:$E$556,$B80)</f>
        <v>223.265994292327</v>
      </c>
      <c r="T80" s="7" t="n">
        <f aca="false">SUMIFS(country_annual_ha!V$2:V$556,country_annual_ha!$D$2:$D$556,$A80,country_annual_ha!$E$2:$E$556,$B80)</f>
        <v>560.76782436533</v>
      </c>
      <c r="U80" s="7" t="n">
        <f aca="false">SUMIFS(country_annual_ha!W$2:W$556,country_annual_ha!$D$2:$D$556,$A80,country_annual_ha!$E$2:$E$556,$B80)</f>
        <v>383.936429092882</v>
      </c>
      <c r="V80" s="7" t="n">
        <f aca="false">SUMIFS(country_annual_ha!X$2:X$556,country_annual_ha!$D$2:$D$556,$A80,country_annual_ha!$E$2:$E$556,$B80)</f>
        <v>186.501832036779</v>
      </c>
      <c r="W80" s="7" t="n">
        <f aca="false">SUMIFS(country_annual_ha!Y$2:Y$556,country_annual_ha!$D$2:$D$556,$A80,country_annual_ha!$E$2:$E$556,$B80)</f>
        <v>0</v>
      </c>
      <c r="X80" s="7" t="n">
        <f aca="false">SUMIFS(country_annual_ha!Z$2:Z$556,country_annual_ha!$D$2:$D$556,$A80,country_annual_ha!$E$2:$E$556,$B80)</f>
        <v>0</v>
      </c>
      <c r="Y80" s="7" t="n">
        <f aca="false">SUMIFS(country_annual_ha!AA$2:AA$556,country_annual_ha!$D$2:$D$556,$A80,country_annual_ha!$E$2:$E$556,$B80)</f>
        <v>50.1431809453605</v>
      </c>
      <c r="Z80" s="7" t="n">
        <f aca="false">SUMIFS(country_annual_ha!AB$2:AB$556,country_annual_ha!$D$2:$D$556,$A80,country_annual_ha!$E$2:$E$556,$B80)</f>
        <v>31.5505354389228</v>
      </c>
    </row>
    <row r="81" customFormat="false" ht="15" hidden="false" customHeight="false" outlineLevel="0" collapsed="false">
      <c r="A81" s="4" t="s">
        <v>83</v>
      </c>
      <c r="B81" s="4" t="s">
        <v>92</v>
      </c>
      <c r="C81" s="4" t="s">
        <v>84</v>
      </c>
      <c r="D81" s="7" t="n">
        <f aca="false">SUMIFS(country_annual_ha!F$2:F$556,country_annual_ha!$D$2:$D$556,$A81,country_annual_ha!$E$2:$E$556,$B81)</f>
        <v>78.5175960314011</v>
      </c>
      <c r="E81" s="7" t="n">
        <f aca="false">SUMIFS(country_annual_ha!G$2:G$556,country_annual_ha!$D$2:$D$556,$A81,country_annual_ha!$E$2:$E$556,$B81)</f>
        <v>60.7231039687794</v>
      </c>
      <c r="F81" s="7" t="n">
        <f aca="false">SUMIFS(country_annual_ha!H$2:H$556,country_annual_ha!$D$2:$D$556,$A81,country_annual_ha!$E$2:$E$556,$B81)</f>
        <v>85.6007287655433</v>
      </c>
      <c r="G81" s="7" t="n">
        <f aca="false">SUMIFS(country_annual_ha!I$2:I$556,country_annual_ha!$D$2:$D$556,$A81,country_annual_ha!$E$2:$E$556,$B81)</f>
        <v>361.336522809051</v>
      </c>
      <c r="H81" s="7" t="n">
        <f aca="false">SUMIFS(country_annual_ha!J$2:J$556,country_annual_ha!$D$2:$D$556,$A81,country_annual_ha!$E$2:$E$556,$B81)</f>
        <v>257.326214837032</v>
      </c>
      <c r="I81" s="7" t="n">
        <f aca="false">SUMIFS(country_annual_ha!K$2:K$556,country_annual_ha!$D$2:$D$556,$A81,country_annual_ha!$E$2:$E$556,$B81)</f>
        <v>326.777055033403</v>
      </c>
      <c r="J81" s="7" t="n">
        <f aca="false">SUMIFS(country_annual_ha!L$2:L$556,country_annual_ha!$D$2:$D$556,$A81,country_annual_ha!$E$2:$E$556,$B81)</f>
        <v>228.161940863363</v>
      </c>
      <c r="K81" s="7" t="n">
        <f aca="false">SUMIFS(country_annual_ha!M$2:M$556,country_annual_ha!$D$2:$D$556,$A81,country_annual_ha!$E$2:$E$556,$B81)</f>
        <v>711.911403141134</v>
      </c>
      <c r="L81" s="7" t="n">
        <f aca="false">SUMIFS(country_annual_ha!N$2:N$556,country_annual_ha!$D$2:$D$556,$A81,country_annual_ha!$E$2:$E$556,$B81)</f>
        <v>210.697085469072</v>
      </c>
      <c r="M81" s="7" t="n">
        <f aca="false">SUMIFS(country_annual_ha!O$2:O$556,country_annual_ha!$D$2:$D$556,$A81,country_annual_ha!$E$2:$E$556,$B81)</f>
        <v>201.826843188312</v>
      </c>
      <c r="N81" s="7" t="n">
        <f aca="false">SUMIFS(country_annual_ha!P$2:P$556,country_annual_ha!$D$2:$D$556,$A81,country_annual_ha!$E$2:$E$556,$B81)</f>
        <v>125.748083089016</v>
      </c>
      <c r="O81" s="7" t="n">
        <f aca="false">SUMIFS(country_annual_ha!Q$2:Q$556,country_annual_ha!$D$2:$D$556,$A81,country_annual_ha!$E$2:$E$556,$B81)</f>
        <v>515.718850495152</v>
      </c>
      <c r="P81" s="7" t="n">
        <f aca="false">SUMIFS(country_annual_ha!R$2:R$556,country_annual_ha!$D$2:$D$556,$A81,country_annual_ha!$E$2:$E$556,$B81)</f>
        <v>131.648031299744</v>
      </c>
      <c r="Q81" s="7" t="n">
        <f aca="false">SUMIFS(country_annual_ha!S$2:S$556,country_annual_ha!$D$2:$D$556,$A81,country_annual_ha!$E$2:$E$556,$B81)</f>
        <v>204.40618560863</v>
      </c>
      <c r="R81" s="7" t="n">
        <f aca="false">SUMIFS(country_annual_ha!T$2:T$556,country_annual_ha!$D$2:$D$556,$A81,country_annual_ha!$E$2:$E$556,$B81)</f>
        <v>220.271822073304</v>
      </c>
      <c r="S81" s="7" t="n">
        <f aca="false">SUMIFS(country_annual_ha!U$2:U$556,country_annual_ha!$D$2:$D$556,$A81,country_annual_ha!$E$2:$E$556,$B81)</f>
        <v>265.110898649926</v>
      </c>
      <c r="T81" s="7" t="n">
        <f aca="false">SUMIFS(country_annual_ha!V$2:V$556,country_annual_ha!$D$2:$D$556,$A81,country_annual_ha!$E$2:$E$556,$B81)</f>
        <v>191.850363246257</v>
      </c>
      <c r="U81" s="7" t="n">
        <f aca="false">SUMIFS(country_annual_ha!W$2:W$556,country_annual_ha!$D$2:$D$556,$A81,country_annual_ha!$E$2:$E$556,$B81)</f>
        <v>142.416336715822</v>
      </c>
      <c r="V81" s="7" t="n">
        <f aca="false">SUMIFS(country_annual_ha!X$2:X$556,country_annual_ha!$D$2:$D$556,$A81,country_annual_ha!$E$2:$E$556,$B81)</f>
        <v>170.227543483695</v>
      </c>
      <c r="W81" s="7" t="n">
        <f aca="false">SUMIFS(country_annual_ha!Y$2:Y$556,country_annual_ha!$D$2:$D$556,$A81,country_annual_ha!$E$2:$E$556,$B81)</f>
        <v>126.443012568144</v>
      </c>
      <c r="X81" s="7" t="n">
        <f aca="false">SUMIFS(country_annual_ha!Z$2:Z$556,country_annual_ha!$D$2:$D$556,$A81,country_annual_ha!$E$2:$E$556,$B81)</f>
        <v>101.352576341242</v>
      </c>
      <c r="Y81" s="7" t="n">
        <f aca="false">SUMIFS(country_annual_ha!AA$2:AA$556,country_annual_ha!$D$2:$D$556,$A81,country_annual_ha!$E$2:$E$556,$B81)</f>
        <v>71.358410466993</v>
      </c>
      <c r="Z81" s="7" t="n">
        <f aca="false">SUMIFS(country_annual_ha!AB$2:AB$556,country_annual_ha!$D$2:$D$556,$A81,country_annual_ha!$E$2:$E$556,$B81)</f>
        <v>105.444791308669</v>
      </c>
    </row>
    <row r="82" customFormat="false" ht="15" hidden="false" customHeight="false" outlineLevel="0" collapsed="false">
      <c r="A82" s="4" t="s">
        <v>83</v>
      </c>
      <c r="B82" s="4" t="s">
        <v>93</v>
      </c>
      <c r="C82" s="4" t="s">
        <v>84</v>
      </c>
      <c r="D82" s="7" t="n">
        <f aca="false">SUMIFS(country_annual_ha!F$2:F$556,country_annual_ha!$D$2:$D$556,$A82,country_annual_ha!$E$2:$E$556,$B82)</f>
        <v>2272.16778592534</v>
      </c>
      <c r="E82" s="7" t="n">
        <f aca="false">SUMIFS(country_annual_ha!G$2:G$556,country_annual_ha!$D$2:$D$556,$A82,country_annual_ha!$E$2:$E$556,$B82)</f>
        <v>1718.08683896673</v>
      </c>
      <c r="F82" s="7" t="n">
        <f aca="false">SUMIFS(country_annual_ha!H$2:H$556,country_annual_ha!$D$2:$D$556,$A82,country_annual_ha!$E$2:$E$556,$B82)</f>
        <v>1469.86629485997</v>
      </c>
      <c r="G82" s="7" t="n">
        <f aca="false">SUMIFS(country_annual_ha!I$2:I$556,country_annual_ha!$D$2:$D$556,$A82,country_annual_ha!$E$2:$E$556,$B82)</f>
        <v>4354.47218605833</v>
      </c>
      <c r="H82" s="7" t="n">
        <f aca="false">SUMIFS(country_annual_ha!J$2:J$556,country_annual_ha!$D$2:$D$556,$A82,country_annual_ha!$E$2:$E$556,$B82)</f>
        <v>3249.28234917006</v>
      </c>
      <c r="I82" s="7" t="n">
        <f aca="false">SUMIFS(country_annual_ha!K$2:K$556,country_annual_ha!$D$2:$D$556,$A82,country_annual_ha!$E$2:$E$556,$B82)</f>
        <v>4256.13273337425</v>
      </c>
      <c r="J82" s="7" t="n">
        <f aca="false">SUMIFS(country_annual_ha!L$2:L$556,country_annual_ha!$D$2:$D$556,$A82,country_annual_ha!$E$2:$E$556,$B82)</f>
        <v>2751.62354814459</v>
      </c>
      <c r="K82" s="7" t="n">
        <f aca="false">SUMIFS(country_annual_ha!M$2:M$556,country_annual_ha!$D$2:$D$556,$A82,country_annual_ha!$E$2:$E$556,$B82)</f>
        <v>5333.95326314184</v>
      </c>
      <c r="L82" s="7" t="n">
        <f aca="false">SUMIFS(country_annual_ha!N$2:N$556,country_annual_ha!$D$2:$D$556,$A82,country_annual_ha!$E$2:$E$556,$B82)</f>
        <v>6130.74627658095</v>
      </c>
      <c r="M82" s="7" t="n">
        <f aca="false">SUMIFS(country_annual_ha!O$2:O$556,country_annual_ha!$D$2:$D$556,$A82,country_annual_ha!$E$2:$E$556,$B82)</f>
        <v>6220.15763684886</v>
      </c>
      <c r="N82" s="7" t="n">
        <f aca="false">SUMIFS(country_annual_ha!P$2:P$556,country_annual_ha!$D$2:$D$556,$A82,country_annual_ha!$E$2:$E$556,$B82)</f>
        <v>4616.34745647227</v>
      </c>
      <c r="O82" s="7" t="n">
        <f aca="false">SUMIFS(country_annual_ha!Q$2:Q$556,country_annual_ha!$D$2:$D$556,$A82,country_annual_ha!$E$2:$E$556,$B82)</f>
        <v>6756.63543062253</v>
      </c>
      <c r="P82" s="7" t="n">
        <f aca="false">SUMIFS(country_annual_ha!R$2:R$556,country_annual_ha!$D$2:$D$556,$A82,country_annual_ha!$E$2:$E$556,$B82)</f>
        <v>4325.87280375127</v>
      </c>
      <c r="Q82" s="7" t="n">
        <f aca="false">SUMIFS(country_annual_ha!S$2:S$556,country_annual_ha!$D$2:$D$556,$A82,country_annual_ha!$E$2:$E$556,$B82)</f>
        <v>658</v>
      </c>
      <c r="R82" s="7" t="n">
        <f aca="false">SUMIFS(country_annual_ha!T$2:T$556,country_annual_ha!$D$2:$D$556,$A82,country_annual_ha!$E$2:$E$556,$B82)</f>
        <v>0</v>
      </c>
      <c r="S82" s="7" t="n">
        <f aca="false">SUMIFS(country_annual_ha!U$2:U$556,country_annual_ha!$D$2:$D$556,$A82,country_annual_ha!$E$2:$E$556,$B82)</f>
        <v>0</v>
      </c>
      <c r="T82" s="7" t="n">
        <f aca="false">SUMIFS(country_annual_ha!V$2:V$556,country_annual_ha!$D$2:$D$556,$A82,country_annual_ha!$E$2:$E$556,$B82)</f>
        <v>0</v>
      </c>
      <c r="U82" s="7" t="n">
        <f aca="false">SUMIFS(country_annual_ha!W$2:W$556,country_annual_ha!$D$2:$D$556,$A82,country_annual_ha!$E$2:$E$556,$B82)</f>
        <v>0</v>
      </c>
      <c r="V82" s="7" t="n">
        <f aca="false">SUMIFS(country_annual_ha!X$2:X$556,country_annual_ha!$D$2:$D$556,$A82,country_annual_ha!$E$2:$E$556,$B82)</f>
        <v>0</v>
      </c>
      <c r="W82" s="7" t="n">
        <f aca="false">SUMIFS(country_annual_ha!Y$2:Y$556,country_annual_ha!$D$2:$D$556,$A82,country_annual_ha!$E$2:$E$556,$B82)</f>
        <v>0</v>
      </c>
      <c r="X82" s="7" t="n">
        <f aca="false">SUMIFS(country_annual_ha!Z$2:Z$556,country_annual_ha!$D$2:$D$556,$A82,country_annual_ha!$E$2:$E$556,$B82)</f>
        <v>0</v>
      </c>
      <c r="Y82" s="7" t="n">
        <f aca="false">SUMIFS(country_annual_ha!AA$2:AA$556,country_annual_ha!$D$2:$D$556,$A82,country_annual_ha!$E$2:$E$556,$B82)</f>
        <v>0</v>
      </c>
      <c r="Z82" s="7" t="n">
        <f aca="false">SUMIFS(country_annual_ha!AB$2:AB$556,country_annual_ha!$D$2:$D$556,$A82,country_annual_ha!$E$2:$E$556,$B82)</f>
        <v>0</v>
      </c>
    </row>
    <row r="83" customFormat="false" ht="15" hidden="false" customHeight="false" outlineLevel="0" collapsed="false">
      <c r="A83" s="4" t="s">
        <v>85</v>
      </c>
      <c r="B83" s="4" t="s">
        <v>91</v>
      </c>
      <c r="C83" s="4" t="s">
        <v>86</v>
      </c>
      <c r="D83" s="7" t="n">
        <f aca="false">SUMIFS(country_annual_ha!F$2:F$556,country_annual_ha!$D$2:$D$556,$A83,country_annual_ha!$E$2:$E$556,$B83)</f>
        <v>179929.0594931</v>
      </c>
      <c r="E83" s="7" t="n">
        <f aca="false">SUMIFS(country_annual_ha!G$2:G$556,country_annual_ha!$D$2:$D$556,$A83,country_annual_ha!$E$2:$E$556,$B83)</f>
        <v>216227.770263367</v>
      </c>
      <c r="F83" s="7" t="n">
        <f aca="false">SUMIFS(country_annual_ha!H$2:H$556,country_annual_ha!$D$2:$D$556,$A83,country_annual_ha!$E$2:$E$556,$B83)</f>
        <v>133892.170423542</v>
      </c>
      <c r="G83" s="7" t="n">
        <f aca="false">SUMIFS(country_annual_ha!I$2:I$556,country_annual_ha!$D$2:$D$556,$A83,country_annual_ha!$E$2:$E$556,$B83)</f>
        <v>462976.93860004</v>
      </c>
      <c r="H83" s="7" t="n">
        <f aca="false">SUMIFS(country_annual_ha!J$2:J$556,country_annual_ha!$D$2:$D$556,$A83,country_annual_ha!$E$2:$E$556,$B83)</f>
        <v>501055.630042695</v>
      </c>
      <c r="I83" s="7" t="n">
        <f aca="false">SUMIFS(country_annual_ha!K$2:K$556,country_annual_ha!$D$2:$D$556,$A83,country_annual_ha!$E$2:$E$556,$B83)</f>
        <v>619359.26180863</v>
      </c>
      <c r="J83" s="7" t="n">
        <f aca="false">SUMIFS(country_annual_ha!L$2:L$556,country_annual_ha!$D$2:$D$556,$A83,country_annual_ha!$E$2:$E$556,$B83)</f>
        <v>554402.374600373</v>
      </c>
      <c r="K83" s="7" t="n">
        <f aca="false">SUMIFS(country_annual_ha!M$2:M$556,country_annual_ha!$D$2:$D$556,$A83,country_annual_ha!$E$2:$E$556,$B83)</f>
        <v>631423.324634165</v>
      </c>
      <c r="L83" s="7" t="n">
        <f aca="false">SUMIFS(country_annual_ha!N$2:N$556,country_annual_ha!$D$2:$D$556,$A83,country_annual_ha!$E$2:$E$556,$B83)</f>
        <v>916678.887357875</v>
      </c>
      <c r="M83" s="7" t="n">
        <f aca="false">SUMIFS(country_annual_ha!O$2:O$556,country_annual_ha!$D$2:$D$556,$A83,country_annual_ha!$E$2:$E$556,$B83)</f>
        <v>599527.349674976</v>
      </c>
      <c r="N83" s="7" t="n">
        <f aca="false">SUMIFS(country_annual_ha!P$2:P$556,country_annual_ha!$D$2:$D$556,$A83,country_annual_ha!$E$2:$E$556,$B83)</f>
        <v>690651.852984605</v>
      </c>
      <c r="O83" s="7" t="n">
        <f aca="false">SUMIFS(country_annual_ha!Q$2:Q$556,country_annual_ha!$D$2:$D$556,$A83,country_annual_ha!$E$2:$E$556,$B83)</f>
        <v>967161.102365761</v>
      </c>
      <c r="P83" s="7" t="n">
        <f aca="false">SUMIFS(country_annual_ha!R$2:R$556,country_annual_ha!$D$2:$D$556,$A83,country_annual_ha!$E$2:$E$556,$B83)</f>
        <v>467623.411745427</v>
      </c>
      <c r="Q83" s="7" t="n">
        <f aca="false">SUMIFS(country_annual_ha!S$2:S$556,country_annual_ha!$D$2:$D$556,$A83,country_annual_ha!$E$2:$E$556,$B83)</f>
        <v>631015.392979756</v>
      </c>
      <c r="R83" s="7" t="n">
        <f aca="false">SUMIFS(country_annual_ha!T$2:T$556,country_annual_ha!$D$2:$D$556,$A83,country_annual_ha!$E$2:$E$556,$B83)</f>
        <v>439079.041838429</v>
      </c>
      <c r="S83" s="7" t="n">
        <f aca="false">SUMIFS(country_annual_ha!U$2:U$556,country_annual_ha!$D$2:$D$556,$A83,country_annual_ha!$E$2:$E$556,$B83)</f>
        <v>442597.668225956</v>
      </c>
      <c r="T83" s="7" t="n">
        <f aca="false">SUMIFS(country_annual_ha!V$2:V$556,country_annual_ha!$D$2:$D$556,$A83,country_annual_ha!$E$2:$E$556,$B83)</f>
        <v>305609.657270426</v>
      </c>
      <c r="U83" s="7" t="n">
        <f aca="false">SUMIFS(country_annual_ha!W$2:W$556,country_annual_ha!$D$2:$D$556,$A83,country_annual_ha!$E$2:$E$556,$B83)</f>
        <v>291071.75839418</v>
      </c>
      <c r="V83" s="7" t="n">
        <f aca="false">SUMIFS(country_annual_ha!X$2:X$556,country_annual_ha!$D$2:$D$556,$A83,country_annual_ha!$E$2:$E$556,$B83)</f>
        <v>228042.817739585</v>
      </c>
      <c r="W83" s="7" t="n">
        <f aca="false">SUMIFS(country_annual_ha!Y$2:Y$556,country_annual_ha!$D$2:$D$556,$A83,country_annual_ha!$E$2:$E$556,$B83)</f>
        <v>126214.587126282</v>
      </c>
      <c r="X83" s="7" t="n">
        <f aca="false">SUMIFS(country_annual_ha!Z$2:Z$556,country_annual_ha!$D$2:$D$556,$A83,country_annual_ha!$E$2:$E$556,$B83)</f>
        <v>88837.4011304502</v>
      </c>
      <c r="Y83" s="7" t="n">
        <f aca="false">SUMIFS(country_annual_ha!AA$2:AA$556,country_annual_ha!$D$2:$D$556,$A83,country_annual_ha!$E$2:$E$556,$B83)</f>
        <v>73549.7705581739</v>
      </c>
      <c r="Z83" s="7" t="n">
        <f aca="false">SUMIFS(country_annual_ha!AB$2:AB$556,country_annual_ha!$D$2:$D$556,$A83,country_annual_ha!$E$2:$E$556,$B83)</f>
        <v>92411.6742106456</v>
      </c>
    </row>
    <row r="84" customFormat="false" ht="15" hidden="false" customHeight="false" outlineLevel="0" collapsed="false">
      <c r="A84" s="4" t="s">
        <v>85</v>
      </c>
      <c r="B84" s="4" t="s">
        <v>92</v>
      </c>
      <c r="C84" s="4" t="s">
        <v>86</v>
      </c>
      <c r="D84" s="7" t="n">
        <f aca="false">SUMIFS(country_annual_ha!F$2:F$556,country_annual_ha!$D$2:$D$556,$A84,country_annual_ha!$E$2:$E$556,$B84)</f>
        <v>223.687827984356</v>
      </c>
      <c r="E84" s="7" t="n">
        <f aca="false">SUMIFS(country_annual_ha!G$2:G$556,country_annual_ha!$D$2:$D$556,$A84,country_annual_ha!$E$2:$E$556,$B84)</f>
        <v>172.098009736433</v>
      </c>
      <c r="F84" s="7" t="n">
        <f aca="false">SUMIFS(country_annual_ha!H$2:H$556,country_annual_ha!$D$2:$D$556,$A84,country_annual_ha!$E$2:$E$556,$B84)</f>
        <v>563.27474608138</v>
      </c>
      <c r="G84" s="7" t="n">
        <f aca="false">SUMIFS(country_annual_ha!I$2:I$556,country_annual_ha!$D$2:$D$556,$A84,country_annual_ha!$E$2:$E$556,$B84)</f>
        <v>1400.94809272813</v>
      </c>
      <c r="H84" s="7" t="n">
        <f aca="false">SUMIFS(country_annual_ha!J$2:J$556,country_annual_ha!$D$2:$D$556,$A84,country_annual_ha!$E$2:$E$556,$B84)</f>
        <v>1570.47533026219</v>
      </c>
      <c r="I84" s="7" t="n">
        <f aca="false">SUMIFS(country_annual_ha!K$2:K$556,country_annual_ha!$D$2:$D$556,$A84,country_annual_ha!$E$2:$E$556,$B84)</f>
        <v>2663.68482224418</v>
      </c>
      <c r="J84" s="7" t="n">
        <f aca="false">SUMIFS(country_annual_ha!L$2:L$556,country_annual_ha!$D$2:$D$556,$A84,country_annual_ha!$E$2:$E$556,$B84)</f>
        <v>5545.14434732849</v>
      </c>
      <c r="K84" s="7" t="n">
        <f aca="false">SUMIFS(country_annual_ha!M$2:M$556,country_annual_ha!$D$2:$D$556,$A84,country_annual_ha!$E$2:$E$556,$B84)</f>
        <v>4437.24276472095</v>
      </c>
      <c r="L84" s="7" t="n">
        <f aca="false">SUMIFS(country_annual_ha!N$2:N$556,country_annual_ha!$D$2:$D$556,$A84,country_annual_ha!$E$2:$E$556,$B84)</f>
        <v>9110.29012708933</v>
      </c>
      <c r="M84" s="7" t="n">
        <f aca="false">SUMIFS(country_annual_ha!O$2:O$556,country_annual_ha!$D$2:$D$556,$A84,country_annual_ha!$E$2:$E$556,$B84)</f>
        <v>2932.7080745856</v>
      </c>
      <c r="N84" s="7" t="n">
        <f aca="false">SUMIFS(country_annual_ha!P$2:P$556,country_annual_ha!$D$2:$D$556,$A84,country_annual_ha!$E$2:$E$556,$B84)</f>
        <v>6205.84327674074</v>
      </c>
      <c r="O84" s="7" t="n">
        <f aca="false">SUMIFS(country_annual_ha!Q$2:Q$556,country_annual_ha!$D$2:$D$556,$A84,country_annual_ha!$E$2:$E$556,$B84)</f>
        <v>19006.5755482146</v>
      </c>
      <c r="P84" s="7" t="n">
        <f aca="false">SUMIFS(country_annual_ha!R$2:R$556,country_annual_ha!$D$2:$D$556,$A84,country_annual_ha!$E$2:$E$556,$B84)</f>
        <v>8650.64509004605</v>
      </c>
      <c r="Q84" s="7" t="n">
        <f aca="false">SUMIFS(country_annual_ha!S$2:S$556,country_annual_ha!$D$2:$D$556,$A84,country_annual_ha!$E$2:$E$556,$B84)</f>
        <v>28734.9032558006</v>
      </c>
      <c r="R84" s="7" t="n">
        <f aca="false">SUMIFS(country_annual_ha!T$2:T$556,country_annual_ha!$D$2:$D$556,$A84,country_annual_ha!$E$2:$E$556,$B84)</f>
        <v>6402.78302868638</v>
      </c>
      <c r="S84" s="7" t="n">
        <f aca="false">SUMIFS(country_annual_ha!U$2:U$556,country_annual_ha!$D$2:$D$556,$A84,country_annual_ha!$E$2:$E$556,$B84)</f>
        <v>11515.1946015796</v>
      </c>
      <c r="T84" s="7" t="n">
        <f aca="false">SUMIFS(country_annual_ha!V$2:V$556,country_annual_ha!$D$2:$D$556,$A84,country_annual_ha!$E$2:$E$556,$B84)</f>
        <v>4348.48545852135</v>
      </c>
      <c r="U84" s="7" t="n">
        <f aca="false">SUMIFS(country_annual_ha!W$2:W$556,country_annual_ha!$D$2:$D$556,$A84,country_annual_ha!$E$2:$E$556,$B84)</f>
        <v>5913.57641370273</v>
      </c>
      <c r="V84" s="7" t="n">
        <f aca="false">SUMIFS(country_annual_ha!X$2:X$556,country_annual_ha!$D$2:$D$556,$A84,country_annual_ha!$E$2:$E$556,$B84)</f>
        <v>9596.20125105533</v>
      </c>
      <c r="W84" s="7" t="n">
        <f aca="false">SUMIFS(country_annual_ha!Y$2:Y$556,country_annual_ha!$D$2:$D$556,$A84,country_annual_ha!$E$2:$E$556,$B84)</f>
        <v>10993.2686605205</v>
      </c>
      <c r="X84" s="7" t="n">
        <f aca="false">SUMIFS(country_annual_ha!Z$2:Z$556,country_annual_ha!$D$2:$D$556,$A84,country_annual_ha!$E$2:$E$556,$B84)</f>
        <v>13682.5006915719</v>
      </c>
      <c r="Y84" s="7" t="n">
        <f aca="false">SUMIFS(country_annual_ha!AA$2:AA$556,country_annual_ha!$D$2:$D$556,$A84,country_annual_ha!$E$2:$E$556,$B84)</f>
        <v>9255.21729276211</v>
      </c>
      <c r="Z84" s="7" t="n">
        <f aca="false">SUMIFS(country_annual_ha!AB$2:AB$556,country_annual_ha!$D$2:$D$556,$A84,country_annual_ha!$E$2:$E$556,$B84)</f>
        <v>8083.74858136611</v>
      </c>
    </row>
    <row r="85" customFormat="false" ht="15" hidden="false" customHeight="false" outlineLevel="0" collapsed="false">
      <c r="A85" s="4" t="s">
        <v>85</v>
      </c>
      <c r="B85" s="4" t="s">
        <v>93</v>
      </c>
      <c r="C85" s="4" t="s">
        <v>86</v>
      </c>
      <c r="D85" s="7" t="n">
        <f aca="false">SUMIFS(country_annual_ha!F$2:F$556,country_annual_ha!$D$2:$D$556,$A85,country_annual_ha!$E$2:$E$556,$B85)</f>
        <v>24165.2476967036</v>
      </c>
      <c r="E85" s="7" t="n">
        <f aca="false">SUMIFS(country_annual_ha!G$2:G$556,country_annual_ha!$D$2:$D$556,$A85,country_annual_ha!$E$2:$E$556,$B85)</f>
        <v>31340.8889033101</v>
      </c>
      <c r="F85" s="7" t="n">
        <f aca="false">SUMIFS(country_annual_ha!H$2:H$556,country_annual_ha!$D$2:$D$556,$A85,country_annual_ha!$E$2:$E$556,$B85)</f>
        <v>12434.428012852</v>
      </c>
      <c r="G85" s="7" t="n">
        <f aca="false">SUMIFS(country_annual_ha!I$2:I$556,country_annual_ha!$D$2:$D$556,$A85,country_annual_ha!$E$2:$E$556,$B85)</f>
        <v>69352.7802168408</v>
      </c>
      <c r="H85" s="7" t="n">
        <f aca="false">SUMIFS(country_annual_ha!J$2:J$556,country_annual_ha!$D$2:$D$556,$A85,country_annual_ha!$E$2:$E$556,$B85)</f>
        <v>59173.4943070648</v>
      </c>
      <c r="I85" s="7" t="n">
        <f aca="false">SUMIFS(country_annual_ha!K$2:K$556,country_annual_ha!$D$2:$D$556,$A85,country_annual_ha!$E$2:$E$556,$B85)</f>
        <v>61197.6215438788</v>
      </c>
      <c r="J85" s="7" t="n">
        <f aca="false">SUMIFS(country_annual_ha!L$2:L$556,country_annual_ha!$D$2:$D$556,$A85,country_annual_ha!$E$2:$E$556,$B85)</f>
        <v>83970.2023410439</v>
      </c>
      <c r="K85" s="7" t="n">
        <f aca="false">SUMIFS(country_annual_ha!M$2:M$556,country_annual_ha!$D$2:$D$556,$A85,country_annual_ha!$E$2:$E$556,$B85)</f>
        <v>74111.0657485039</v>
      </c>
      <c r="L85" s="7" t="n">
        <f aca="false">SUMIFS(country_annual_ha!N$2:N$556,country_annual_ha!$D$2:$D$556,$A85,country_annual_ha!$E$2:$E$556,$B85)</f>
        <v>60958.640266765</v>
      </c>
      <c r="M85" s="7" t="n">
        <f aca="false">SUMIFS(country_annual_ha!O$2:O$556,country_annual_ha!$D$2:$D$556,$A85,country_annual_ha!$E$2:$E$556,$B85)</f>
        <v>100200.903580895</v>
      </c>
      <c r="N85" s="7" t="n">
        <f aca="false">SUMIFS(country_annual_ha!P$2:P$556,country_annual_ha!$D$2:$D$556,$A85,country_annual_ha!$E$2:$E$556,$B85)</f>
        <v>116092.906053287</v>
      </c>
      <c r="O85" s="7" t="n">
        <f aca="false">SUMIFS(country_annual_ha!Q$2:Q$556,country_annual_ha!$D$2:$D$556,$A85,country_annual_ha!$E$2:$E$556,$B85)</f>
        <v>137828.10982868</v>
      </c>
      <c r="P85" s="7" t="n">
        <f aca="false">SUMIFS(country_annual_ha!R$2:R$556,country_annual_ha!$D$2:$D$556,$A85,country_annual_ha!$E$2:$E$556,$B85)</f>
        <v>50988.4559187668</v>
      </c>
      <c r="Q85" s="7" t="n">
        <f aca="false">SUMIFS(country_annual_ha!S$2:S$556,country_annual_ha!$D$2:$D$556,$A85,country_annual_ha!$E$2:$E$556,$B85)</f>
        <v>33346.2481072342</v>
      </c>
      <c r="R85" s="7" t="n">
        <f aca="false">SUMIFS(country_annual_ha!T$2:T$556,country_annual_ha!$D$2:$D$556,$A85,country_annual_ha!$E$2:$E$556,$B85)</f>
        <v>43666.0551527966</v>
      </c>
      <c r="S85" s="7" t="n">
        <f aca="false">SUMIFS(country_annual_ha!U$2:U$556,country_annual_ha!$D$2:$D$556,$A85,country_annual_ha!$E$2:$E$556,$B85)</f>
        <v>72710.2980069214</v>
      </c>
      <c r="T85" s="7" t="n">
        <f aca="false">SUMIFS(country_annual_ha!V$2:V$556,country_annual_ha!$D$2:$D$556,$A85,country_annual_ha!$E$2:$E$556,$B85)</f>
        <v>49859.6577768671</v>
      </c>
      <c r="U85" s="7" t="n">
        <f aca="false">SUMIFS(country_annual_ha!W$2:W$556,country_annual_ha!$D$2:$D$556,$A85,country_annual_ha!$E$2:$E$556,$B85)</f>
        <v>35919.4040557682</v>
      </c>
      <c r="V85" s="7" t="n">
        <f aca="false">SUMIFS(country_annual_ha!X$2:X$556,country_annual_ha!$D$2:$D$556,$A85,country_annual_ha!$E$2:$E$556,$B85)</f>
        <v>37910.522789595</v>
      </c>
      <c r="W85" s="7" t="n">
        <f aca="false">SUMIFS(country_annual_ha!Y$2:Y$556,country_annual_ha!$D$2:$D$556,$A85,country_annual_ha!$E$2:$E$556,$B85)</f>
        <v>18141.0716278251</v>
      </c>
      <c r="X85" s="7" t="n">
        <f aca="false">SUMIFS(country_annual_ha!Z$2:Z$556,country_annual_ha!$D$2:$D$556,$A85,country_annual_ha!$E$2:$E$556,$B85)</f>
        <v>10654.3489847608</v>
      </c>
      <c r="Y85" s="7" t="n">
        <f aca="false">SUMIFS(country_annual_ha!AA$2:AA$556,country_annual_ha!$D$2:$D$556,$A85,country_annual_ha!$E$2:$E$556,$B85)</f>
        <v>5633.72047770857</v>
      </c>
      <c r="Z85" s="7" t="n">
        <f aca="false">SUMIFS(country_annual_ha!AB$2:AB$556,country_annual_ha!$D$2:$D$556,$A85,country_annual_ha!$E$2:$E$556,$B85)</f>
        <v>5805.07990582944</v>
      </c>
    </row>
    <row r="86" customFormat="false" ht="15" hidden="false" customHeight="false" outlineLevel="0" collapsed="false">
      <c r="A86" s="4" t="s">
        <v>87</v>
      </c>
      <c r="B86" s="4" t="s">
        <v>91</v>
      </c>
      <c r="C86" s="4" t="s">
        <v>88</v>
      </c>
      <c r="D86" s="7" t="n">
        <f aca="false">SUMIFS(D$2:D$85,$B$2:$B$85,$B86)</f>
        <v>1528343.65304063</v>
      </c>
      <c r="E86" s="7" t="n">
        <f aca="false">SUMIFS(E$2:E$85,$B$2:$B$85,$B86)</f>
        <v>1751289.14886083</v>
      </c>
      <c r="F86" s="7" t="n">
        <f aca="false">SUMIFS(F$2:F$85,$B$2:$B$85,$B86)</f>
        <v>1696310.75682925</v>
      </c>
      <c r="G86" s="7" t="n">
        <f aca="false">SUMIFS(G$2:G$85,$B$2:$B$85,$B86)</f>
        <v>2300799.31087071</v>
      </c>
      <c r="H86" s="7" t="n">
        <f aca="false">SUMIFS(H$2:H$85,$B$2:$B$85,$B86)</f>
        <v>2170870.23905657</v>
      </c>
      <c r="I86" s="7" t="n">
        <f aca="false">SUMIFS(I$2:I$85,$B$2:$B$85,$B86)</f>
        <v>2504026.60249108</v>
      </c>
      <c r="J86" s="7" t="n">
        <f aca="false">SUMIFS(J$2:J$85,$B$2:$B$85,$B86)</f>
        <v>2821081.99492736</v>
      </c>
      <c r="K86" s="7" t="n">
        <f aca="false">SUMIFS(K$2:K$85,$B$2:$B$85,$B86)</f>
        <v>3163347.61405115</v>
      </c>
      <c r="L86" s="7" t="n">
        <f aca="false">SUMIFS(L$2:L$85,$B$2:$B$85,$B86)</f>
        <v>3436629.7850839</v>
      </c>
      <c r="M86" s="7" t="n">
        <f aca="false">SUMIFS(M$2:M$85,$B$2:$B$85,$B86)</f>
        <v>3281711.70344397</v>
      </c>
      <c r="N86" s="7" t="n">
        <f aca="false">SUMIFS(N$2:N$85,$B$2:$B$85,$B86)</f>
        <v>2862560.89880553</v>
      </c>
      <c r="O86" s="7" t="n">
        <f aca="false">SUMIFS(O$2:O$85,$B$2:$B$85,$B86)</f>
        <v>3901753.14199459</v>
      </c>
      <c r="P86" s="7" t="n">
        <f aca="false">SUMIFS(P$2:P$85,$B$2:$B$85,$B86)</f>
        <v>2807182.9835877</v>
      </c>
      <c r="Q86" s="7" t="n">
        <f aca="false">SUMIFS(Q$2:Q$85,$B$2:$B$85,$B86)</f>
        <v>3418418.6602701</v>
      </c>
      <c r="R86" s="7" t="n">
        <f aca="false">SUMIFS(R$2:R$85,$B$2:$B$85,$B86)</f>
        <v>2446348.98467993</v>
      </c>
      <c r="S86" s="7" t="n">
        <f aca="false">SUMIFS(S$2:S$85,$B$2:$B$85,$B86)</f>
        <v>3314678.86026994</v>
      </c>
      <c r="T86" s="7" t="n">
        <f aca="false">SUMIFS(T$2:T$85,$B$2:$B$85,$B86)</f>
        <v>3470062.57258811</v>
      </c>
      <c r="U86" s="7" t="n">
        <f aca="false">SUMIFS(U$2:U$85,$B$2:$B$85,$B86)</f>
        <v>2400984.55601136</v>
      </c>
      <c r="V86" s="7" t="n">
        <f aca="false">SUMIFS(V$2:V$85,$B$2:$B$85,$B86)</f>
        <v>2501017.54569158</v>
      </c>
      <c r="W86" s="7" t="n">
        <f aca="false">SUMIFS(W$2:W$85,$B$2:$B$85,$B86)</f>
        <v>2126350.96227229</v>
      </c>
      <c r="X86" s="7" t="n">
        <f aca="false">SUMIFS(X$2:X$85,$B$2:$B$85,$B86)</f>
        <v>2172194.44638265</v>
      </c>
      <c r="Y86" s="7" t="n">
        <f aca="false">SUMIFS(Y$2:Y$85,$B$2:$B$85,$B86)</f>
        <v>2105122.16181467</v>
      </c>
      <c r="Z86" s="7" t="n">
        <f aca="false">SUMIFS(Z$2:Z$85,$B$2:$B$85,$B86)</f>
        <v>1963429.85866023</v>
      </c>
    </row>
    <row r="87" customFormat="false" ht="15" hidden="false" customHeight="false" outlineLevel="0" collapsed="false">
      <c r="A87" s="4" t="s">
        <v>87</v>
      </c>
      <c r="B87" s="4" t="s">
        <v>92</v>
      </c>
      <c r="C87" s="4" t="s">
        <v>88</v>
      </c>
      <c r="D87" s="7" t="n">
        <f aca="false">SUMIFS(D$2:D$85,$B$2:$B$85,$B87)</f>
        <v>1986771.71645898</v>
      </c>
      <c r="E87" s="7" t="n">
        <f aca="false">SUMIFS(E$2:E$85,$B$2:$B$85,$B87)</f>
        <v>2744668.17913623</v>
      </c>
      <c r="F87" s="7" t="n">
        <f aca="false">SUMIFS(F$2:F$85,$B$2:$B$85,$B87)</f>
        <v>2502877.2342152</v>
      </c>
      <c r="G87" s="7" t="n">
        <f aca="false">SUMIFS(G$2:G$85,$B$2:$B$85,$B87)</f>
        <v>3215815.69839921</v>
      </c>
      <c r="H87" s="7" t="n">
        <f aca="false">SUMIFS(H$2:H$85,$B$2:$B$85,$B87)</f>
        <v>2948671.52694013</v>
      </c>
      <c r="I87" s="7" t="n">
        <f aca="false">SUMIFS(I$2:I$85,$B$2:$B$85,$B87)</f>
        <v>2435233.87476292</v>
      </c>
      <c r="J87" s="7" t="n">
        <f aca="false">SUMIFS(J$2:J$85,$B$2:$B$85,$B87)</f>
        <v>2297569.66154394</v>
      </c>
      <c r="K87" s="7" t="n">
        <f aca="false">SUMIFS(K$2:K$85,$B$2:$B$85,$B87)</f>
        <v>2109345.23623025</v>
      </c>
      <c r="L87" s="7" t="n">
        <f aca="false">SUMIFS(L$2:L$85,$B$2:$B$85,$B87)</f>
        <v>1716966.9702917</v>
      </c>
      <c r="M87" s="7" t="n">
        <f aca="false">SUMIFS(M$2:M$85,$B$2:$B$85,$B87)</f>
        <v>2135042.69775146</v>
      </c>
      <c r="N87" s="7" t="n">
        <f aca="false">SUMIFS(N$2:N$85,$B$2:$B$85,$B87)</f>
        <v>1593944.84006674</v>
      </c>
      <c r="O87" s="7" t="n">
        <f aca="false">SUMIFS(O$2:O$85,$B$2:$B$85,$B87)</f>
        <v>1953886.46888723</v>
      </c>
      <c r="P87" s="7" t="n">
        <f aca="false">SUMIFS(P$2:P$85,$B$2:$B$85,$B87)</f>
        <v>1328672.86752965</v>
      </c>
      <c r="Q87" s="7" t="n">
        <f aca="false">SUMIFS(Q$2:Q$85,$B$2:$B$85,$B87)</f>
        <v>2128742.59132398</v>
      </c>
      <c r="R87" s="7" t="n">
        <f aca="false">SUMIFS(R$2:R$85,$B$2:$B$85,$B87)</f>
        <v>1827535.07086618</v>
      </c>
      <c r="S87" s="7" t="n">
        <f aca="false">SUMIFS(S$2:S$85,$B$2:$B$85,$B87)</f>
        <v>2829456.90529873</v>
      </c>
      <c r="T87" s="7" t="n">
        <f aca="false">SUMIFS(T$2:T$85,$B$2:$B$85,$B87)</f>
        <v>2626452.36465124</v>
      </c>
      <c r="U87" s="7" t="n">
        <f aca="false">SUMIFS(U$2:U$85,$B$2:$B$85,$B87)</f>
        <v>2235690.40411951</v>
      </c>
      <c r="V87" s="7" t="n">
        <f aca="false">SUMIFS(V$2:V$85,$B$2:$B$85,$B87)</f>
        <v>2242158.50207805</v>
      </c>
      <c r="W87" s="7" t="n">
        <f aca="false">SUMIFS(W$2:W$85,$B$2:$B$85,$B87)</f>
        <v>2369634.49664953</v>
      </c>
      <c r="X87" s="7" t="n">
        <f aca="false">SUMIFS(X$2:X$85,$B$2:$B$85,$B87)</f>
        <v>2371824.17351876</v>
      </c>
      <c r="Y87" s="7" t="n">
        <f aca="false">SUMIFS(Y$2:Y$85,$B$2:$B$85,$B87)</f>
        <v>2628400.67050048</v>
      </c>
      <c r="Z87" s="7" t="n">
        <f aca="false">SUMIFS(Z$2:Z$85,$B$2:$B$85,$B87)</f>
        <v>1913740.40434749</v>
      </c>
    </row>
    <row r="88" customFormat="false" ht="15" hidden="false" customHeight="false" outlineLevel="0" collapsed="false">
      <c r="A88" s="4" t="s">
        <v>87</v>
      </c>
      <c r="B88" s="4" t="s">
        <v>93</v>
      </c>
      <c r="C88" s="4" t="s">
        <v>88</v>
      </c>
      <c r="D88" s="7" t="n">
        <f aca="false">SUMIFS(D$2:D$85,$B$2:$B$85,$B88)</f>
        <v>653048.666334491</v>
      </c>
      <c r="E88" s="7" t="n">
        <f aca="false">SUMIFS(E$2:E$85,$B$2:$B$85,$B88)</f>
        <v>656016.23689002</v>
      </c>
      <c r="F88" s="7" t="n">
        <f aca="false">SUMIFS(F$2:F$85,$B$2:$B$85,$B88)</f>
        <v>626467.426221859</v>
      </c>
      <c r="G88" s="7" t="n">
        <f aca="false">SUMIFS(G$2:G$85,$B$2:$B$85,$B88)</f>
        <v>846619.129480953</v>
      </c>
      <c r="H88" s="7" t="n">
        <f aca="false">SUMIFS(H$2:H$85,$B$2:$B$85,$B88)</f>
        <v>809817.334083469</v>
      </c>
      <c r="I88" s="7" t="n">
        <f aca="false">SUMIFS(I$2:I$85,$B$2:$B$85,$B88)</f>
        <v>881312.193423141</v>
      </c>
      <c r="J88" s="7" t="n">
        <f aca="false">SUMIFS(J$2:J$85,$B$2:$B$85,$B88)</f>
        <v>972373.542536777</v>
      </c>
      <c r="K88" s="7" t="n">
        <f aca="false">SUMIFS(K$2:K$85,$B$2:$B$85,$B88)</f>
        <v>792430.405024294</v>
      </c>
      <c r="L88" s="7" t="n">
        <f aca="false">SUMIFS(L$2:L$85,$B$2:$B$85,$B88)</f>
        <v>646526.610965074</v>
      </c>
      <c r="M88" s="7" t="n">
        <f aca="false">SUMIFS(M$2:M$85,$B$2:$B$85,$B88)</f>
        <v>517161.283134226</v>
      </c>
      <c r="N88" s="7" t="n">
        <f aca="false">SUMIFS(N$2:N$85,$B$2:$B$85,$B88)</f>
        <v>537026.756822042</v>
      </c>
      <c r="O88" s="7" t="n">
        <f aca="false">SUMIFS(O$2:O$85,$B$2:$B$85,$B88)</f>
        <v>656961.466282618</v>
      </c>
      <c r="P88" s="7" t="n">
        <f aca="false">SUMIFS(P$2:P$85,$B$2:$B$85,$B88)</f>
        <v>540373.307431855</v>
      </c>
      <c r="Q88" s="7" t="n">
        <f aca="false">SUMIFS(Q$2:Q$85,$B$2:$B$85,$B88)</f>
        <v>937682.713426185</v>
      </c>
      <c r="R88" s="7" t="n">
        <f aca="false">SUMIFS(R$2:R$85,$B$2:$B$85,$B88)</f>
        <v>844046.445097133</v>
      </c>
      <c r="S88" s="7" t="n">
        <f aca="false">SUMIFS(S$2:S$85,$B$2:$B$85,$B88)</f>
        <v>999582.529141344</v>
      </c>
      <c r="T88" s="7" t="n">
        <f aca="false">SUMIFS(T$2:T$85,$B$2:$B$85,$B88)</f>
        <v>650345.852360201</v>
      </c>
      <c r="U88" s="7" t="n">
        <f aca="false">SUMIFS(U$2:U$85,$B$2:$B$85,$B88)</f>
        <v>569861.560213209</v>
      </c>
      <c r="V88" s="7" t="n">
        <f aca="false">SUMIFS(V$2:V$85,$B$2:$B$85,$B88)</f>
        <v>522568.997792197</v>
      </c>
      <c r="W88" s="7" t="n">
        <f aca="false">SUMIFS(W$2:W$85,$B$2:$B$85,$B88)</f>
        <v>462587.99360223</v>
      </c>
      <c r="X88" s="7" t="n">
        <f aca="false">SUMIFS(X$2:X$85,$B$2:$B$85,$B88)</f>
        <v>561855.338198074</v>
      </c>
      <c r="Y88" s="7" t="n">
        <f aca="false">SUMIFS(Y$2:Y$85,$B$2:$B$85,$B88)</f>
        <v>617459.056786485</v>
      </c>
      <c r="Z88" s="7" t="n">
        <f aca="false">SUMIFS(Z$2:Z$85,$B$2:$B$85,$B88)</f>
        <v>585095.637242207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1"/>
  </cols>
  <sheetData>
    <row r="1" customFormat="false" ht="23.85" hidden="false" customHeight="false" outlineLevel="0" collapsed="false">
      <c r="A1" s="3" t="s">
        <v>94</v>
      </c>
      <c r="B1" s="3" t="s">
        <v>95</v>
      </c>
      <c r="C1" s="3" t="s">
        <v>96</v>
      </c>
      <c r="D1" s="3" t="s">
        <v>28</v>
      </c>
      <c r="E1" s="3" t="s">
        <v>90</v>
      </c>
      <c r="F1" s="9" t="n">
        <v>2001</v>
      </c>
      <c r="G1" s="9" t="n">
        <v>2002</v>
      </c>
      <c r="H1" s="9" t="n">
        <v>2003</v>
      </c>
      <c r="I1" s="9" t="n">
        <v>2004</v>
      </c>
      <c r="J1" s="9" t="n">
        <v>2005</v>
      </c>
      <c r="K1" s="9" t="n">
        <v>2006</v>
      </c>
      <c r="L1" s="9" t="n">
        <v>2007</v>
      </c>
      <c r="M1" s="9" t="n">
        <v>2008</v>
      </c>
      <c r="N1" s="9" t="n">
        <v>2009</v>
      </c>
      <c r="O1" s="9" t="n">
        <v>2010</v>
      </c>
      <c r="P1" s="9" t="n">
        <v>2011</v>
      </c>
      <c r="Q1" s="9" t="n">
        <v>2012</v>
      </c>
      <c r="R1" s="9" t="n">
        <v>2013</v>
      </c>
      <c r="S1" s="9" t="n">
        <v>2014</v>
      </c>
      <c r="T1" s="9" t="n">
        <v>2015</v>
      </c>
      <c r="U1" s="9" t="n">
        <v>2016</v>
      </c>
      <c r="V1" s="9" t="n">
        <v>2017</v>
      </c>
      <c r="W1" s="9" t="n">
        <v>2018</v>
      </c>
      <c r="X1" s="9" t="n">
        <v>2019</v>
      </c>
      <c r="Y1" s="9" t="n">
        <v>2020</v>
      </c>
      <c r="Z1" s="9" t="n">
        <v>2021</v>
      </c>
      <c r="AA1" s="9" t="n">
        <v>2022</v>
      </c>
      <c r="AB1" s="9" t="n">
        <v>2023</v>
      </c>
    </row>
    <row r="2" customFormat="false" ht="15" hidden="false" customHeight="false" outlineLevel="0" collapsed="false">
      <c r="A2" s="4" t="s">
        <v>97</v>
      </c>
      <c r="B2" s="4" t="s">
        <v>98</v>
      </c>
      <c r="C2" s="4" t="s">
        <v>99</v>
      </c>
      <c r="D2" s="4" t="s">
        <v>81</v>
      </c>
      <c r="E2" s="4" t="s">
        <v>91</v>
      </c>
      <c r="F2" s="7" t="n">
        <v>67.1733606909693</v>
      </c>
      <c r="G2" s="7" t="n">
        <v>44.1545952780285</v>
      </c>
      <c r="H2" s="7" t="n">
        <v>10.218612157983</v>
      </c>
      <c r="I2" s="7" t="n">
        <v>28.5136588854155</v>
      </c>
      <c r="J2" s="7" t="n">
        <v>8.04784448853237</v>
      </c>
      <c r="K2" s="7" t="n">
        <v>8.48290497778825</v>
      </c>
      <c r="L2" s="7" t="n">
        <v>12.1198960624171</v>
      </c>
      <c r="M2" s="7" t="n">
        <v>6.01604173389701</v>
      </c>
      <c r="N2" s="7" t="n">
        <v>8.37212219477176</v>
      </c>
      <c r="O2" s="7" t="n">
        <v>5.86661788697798</v>
      </c>
      <c r="P2" s="7" t="n">
        <v>4.26882837204596</v>
      </c>
      <c r="Q2" s="7" t="n">
        <v>13.6181503834516</v>
      </c>
      <c r="R2" s="7" t="n">
        <v>0.165219878609243</v>
      </c>
      <c r="S2" s="7" t="n">
        <v>0.185296647809789</v>
      </c>
      <c r="T2" s="7" t="n">
        <v>0</v>
      </c>
      <c r="U2" s="7" t="n">
        <v>0</v>
      </c>
      <c r="V2" s="7" t="n">
        <v>0</v>
      </c>
      <c r="W2" s="7" t="n">
        <v>0</v>
      </c>
      <c r="X2" s="7" t="n">
        <v>0.470031317342524</v>
      </c>
      <c r="Y2" s="7" t="n">
        <v>1.26404760742188</v>
      </c>
      <c r="Z2" s="7" t="n">
        <v>0.315702026367188</v>
      </c>
      <c r="AA2" s="7" t="n">
        <v>0.0203357425395897</v>
      </c>
      <c r="AB2" s="7" t="n">
        <v>0.35409890556919</v>
      </c>
    </row>
    <row r="3" customFormat="false" ht="15" hidden="false" customHeight="false" outlineLevel="0" collapsed="false">
      <c r="A3" s="4" t="s">
        <v>97</v>
      </c>
      <c r="B3" s="4" t="s">
        <v>98</v>
      </c>
      <c r="C3" s="4" t="s">
        <v>99</v>
      </c>
      <c r="D3" s="4" t="s">
        <v>81</v>
      </c>
      <c r="E3" s="4" t="s">
        <v>92</v>
      </c>
      <c r="F3" s="7" t="n">
        <v>2.94509421180535</v>
      </c>
      <c r="G3" s="7" t="n">
        <v>6.85626145357478</v>
      </c>
      <c r="H3" s="7" t="n">
        <v>2.98852843649943</v>
      </c>
      <c r="I3" s="7" t="n">
        <v>3.20074889656688</v>
      </c>
      <c r="J3" s="7" t="n">
        <v>7.28959011229771</v>
      </c>
      <c r="K3" s="7" t="n">
        <v>2.31868521386214</v>
      </c>
      <c r="L3" s="7" t="n">
        <v>2.51718028035631</v>
      </c>
      <c r="M3" s="7" t="n">
        <v>3.43453603709908</v>
      </c>
      <c r="N3" s="7" t="n">
        <v>4.35713136968136</v>
      </c>
      <c r="O3" s="7" t="n">
        <v>1.49259720701617</v>
      </c>
      <c r="P3" s="7" t="n">
        <v>1.20529510750846</v>
      </c>
      <c r="Q3" s="7" t="n">
        <v>2.54903906356987</v>
      </c>
      <c r="R3" s="7" t="n">
        <v>0.210585974662241</v>
      </c>
      <c r="S3" s="7" t="n">
        <v>0.189972633196071</v>
      </c>
      <c r="T3" s="7" t="n">
        <v>0</v>
      </c>
      <c r="U3" s="7" t="n">
        <v>0</v>
      </c>
      <c r="V3" s="7" t="n">
        <v>0</v>
      </c>
      <c r="W3" s="7" t="n">
        <v>0.318411822509766</v>
      </c>
      <c r="X3" s="7" t="n">
        <v>0.866482818399664</v>
      </c>
      <c r="Y3" s="7" t="n">
        <v>0</v>
      </c>
      <c r="Z3" s="7" t="n">
        <v>0</v>
      </c>
      <c r="AA3" s="7" t="n">
        <v>0.0428632747943947</v>
      </c>
      <c r="AB3" s="7" t="n">
        <v>0.400261189645654</v>
      </c>
    </row>
    <row r="4" customFormat="false" ht="15" hidden="false" customHeight="false" outlineLevel="0" collapsed="false">
      <c r="A4" s="4" t="s">
        <v>97</v>
      </c>
      <c r="B4" s="4" t="s">
        <v>98</v>
      </c>
      <c r="C4" s="4" t="s">
        <v>99</v>
      </c>
      <c r="D4" s="4" t="s">
        <v>81</v>
      </c>
      <c r="E4" s="4" t="s">
        <v>93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</row>
    <row r="5" customFormat="false" ht="15" hidden="false" customHeight="false" outlineLevel="0" collapsed="false">
      <c r="A5" s="4" t="s">
        <v>100</v>
      </c>
      <c r="B5" s="4" t="s">
        <v>74</v>
      </c>
      <c r="C5" s="4" t="s">
        <v>101</v>
      </c>
      <c r="D5" s="4" t="s">
        <v>73</v>
      </c>
      <c r="E5" s="4" t="s">
        <v>91</v>
      </c>
      <c r="F5" s="7" t="n">
        <v>34697.465271074</v>
      </c>
      <c r="G5" s="7" t="n">
        <v>19538.0402931259</v>
      </c>
      <c r="H5" s="7" t="n">
        <v>17362.1329966486</v>
      </c>
      <c r="I5" s="7" t="n">
        <v>26552.6544757692</v>
      </c>
      <c r="J5" s="7" t="n">
        <v>33860.8657426264</v>
      </c>
      <c r="K5" s="7" t="n">
        <v>31362.1504651318</v>
      </c>
      <c r="L5" s="7" t="n">
        <v>59290.3448857464</v>
      </c>
      <c r="M5" s="7" t="n">
        <v>46475.729861615</v>
      </c>
      <c r="N5" s="7" t="n">
        <v>67873.7300319346</v>
      </c>
      <c r="O5" s="7" t="n">
        <v>45361.955611467</v>
      </c>
      <c r="P5" s="7" t="n">
        <v>63033.6666666667</v>
      </c>
      <c r="Q5" s="7" t="n">
        <v>66920.1718778198</v>
      </c>
      <c r="R5" s="7" t="n">
        <v>56974.9743782059</v>
      </c>
      <c r="S5" s="7" t="n">
        <v>62381.675599811</v>
      </c>
      <c r="T5" s="7" t="n">
        <v>42026.6927968798</v>
      </c>
      <c r="U5" s="7" t="n">
        <v>30186.0343005133</v>
      </c>
      <c r="V5" s="7" t="n">
        <v>29969.5785633097</v>
      </c>
      <c r="W5" s="7" t="n">
        <v>12711.7319959291</v>
      </c>
      <c r="X5" s="7" t="n">
        <v>2260.32756628425</v>
      </c>
      <c r="Y5" s="7" t="n">
        <v>0</v>
      </c>
      <c r="Z5" s="7" t="n">
        <v>0</v>
      </c>
      <c r="AA5" s="7" t="n">
        <v>6682.70051575997</v>
      </c>
      <c r="AB5" s="7" t="n">
        <v>2012.7015530497</v>
      </c>
    </row>
    <row r="6" customFormat="false" ht="15" hidden="false" customHeight="false" outlineLevel="0" collapsed="false">
      <c r="A6" s="4" t="s">
        <v>100</v>
      </c>
      <c r="B6" s="4" t="s">
        <v>74</v>
      </c>
      <c r="C6" s="4" t="s">
        <v>101</v>
      </c>
      <c r="D6" s="4" t="s">
        <v>73</v>
      </c>
      <c r="E6" s="4" t="s">
        <v>92</v>
      </c>
      <c r="F6" s="7" t="n">
        <v>0</v>
      </c>
      <c r="G6" s="7" t="n">
        <v>0</v>
      </c>
      <c r="H6" s="7" t="n">
        <v>0</v>
      </c>
      <c r="I6" s="7" t="n">
        <v>165.518411518451</v>
      </c>
      <c r="J6" s="7" t="n">
        <v>3901.91603873199</v>
      </c>
      <c r="K6" s="7" t="n">
        <v>0</v>
      </c>
      <c r="L6" s="7" t="n">
        <v>0</v>
      </c>
      <c r="M6" s="7" t="n">
        <v>519.15989576212</v>
      </c>
      <c r="N6" s="7" t="n">
        <v>10329.7921343899</v>
      </c>
      <c r="O6" s="7" t="n">
        <v>4935.26071309623</v>
      </c>
      <c r="P6" s="7" t="n">
        <v>9801.50220927147</v>
      </c>
      <c r="Q6" s="7" t="n">
        <v>8091.42860316433</v>
      </c>
      <c r="R6" s="7" t="n">
        <v>0</v>
      </c>
      <c r="S6" s="7" t="n">
        <v>0</v>
      </c>
      <c r="T6" s="7" t="n">
        <v>0</v>
      </c>
      <c r="U6" s="7" t="n">
        <v>28253.8196015601</v>
      </c>
      <c r="V6" s="7" t="n">
        <v>47930.9477144278</v>
      </c>
      <c r="W6" s="7" t="n">
        <v>46868.6888120576</v>
      </c>
      <c r="X6" s="7" t="n">
        <v>37268.7860068225</v>
      </c>
      <c r="Y6" s="7" t="n">
        <v>55440.8632251026</v>
      </c>
      <c r="Z6" s="7" t="n">
        <v>80543.7477699814</v>
      </c>
      <c r="AA6" s="7" t="n">
        <v>57686.1318535652</v>
      </c>
      <c r="AB6" s="7" t="n">
        <v>74391.140294233</v>
      </c>
    </row>
    <row r="7" customFormat="false" ht="15" hidden="false" customHeight="false" outlineLevel="0" collapsed="false">
      <c r="A7" s="4" t="s">
        <v>100</v>
      </c>
      <c r="B7" s="4" t="s">
        <v>74</v>
      </c>
      <c r="C7" s="4" t="s">
        <v>101</v>
      </c>
      <c r="D7" s="4" t="s">
        <v>73</v>
      </c>
      <c r="E7" s="4" t="s">
        <v>93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</row>
    <row r="8" customFormat="false" ht="15" hidden="false" customHeight="false" outlineLevel="0" collapsed="false">
      <c r="A8" s="4" t="s">
        <v>102</v>
      </c>
      <c r="B8" s="4" t="s">
        <v>103</v>
      </c>
      <c r="C8" s="4" t="s">
        <v>104</v>
      </c>
      <c r="D8" s="4" t="s">
        <v>43</v>
      </c>
      <c r="E8" s="4" t="s">
        <v>91</v>
      </c>
      <c r="F8" s="7" t="n">
        <v>362.806195203673</v>
      </c>
      <c r="G8" s="7" t="n">
        <v>0.348957312011719</v>
      </c>
      <c r="H8" s="7" t="n">
        <v>57.394861708428</v>
      </c>
      <c r="I8" s="7" t="n">
        <v>410.892167142301</v>
      </c>
      <c r="J8" s="7" t="n">
        <v>41.3562953036743</v>
      </c>
      <c r="K8" s="7" t="n">
        <v>0.0580388977050781</v>
      </c>
      <c r="L8" s="7" t="n">
        <v>0.874803216552734</v>
      </c>
      <c r="M8" s="7" t="n">
        <v>31.2158984056594</v>
      </c>
      <c r="N8" s="7" t="n">
        <v>138.189058985441</v>
      </c>
      <c r="O8" s="7" t="n">
        <v>68.1249262713504</v>
      </c>
      <c r="P8" s="7" t="n">
        <v>87.8000727363616</v>
      </c>
      <c r="Q8" s="7" t="n">
        <v>486.35892968999</v>
      </c>
      <c r="R8" s="7" t="n">
        <v>117.968645951861</v>
      </c>
      <c r="S8" s="7" t="n">
        <v>96.9404307987092</v>
      </c>
      <c r="T8" s="7" t="n">
        <v>28.6939739140021</v>
      </c>
      <c r="U8" s="7" t="n">
        <v>54.104945144894</v>
      </c>
      <c r="V8" s="7" t="n">
        <v>77.5741254069252</v>
      </c>
      <c r="W8" s="7" t="n">
        <v>76.6604601707309</v>
      </c>
      <c r="X8" s="7" t="n">
        <v>63.4033532876408</v>
      </c>
      <c r="Y8" s="7" t="n">
        <v>51.9860841741345</v>
      </c>
      <c r="Z8" s="7" t="n">
        <v>0</v>
      </c>
      <c r="AA8" s="7" t="n">
        <v>0</v>
      </c>
      <c r="AB8" s="7" t="n">
        <v>104.508545887834</v>
      </c>
    </row>
    <row r="9" customFormat="false" ht="15" hidden="false" customHeight="false" outlineLevel="0" collapsed="false">
      <c r="A9" s="4" t="s">
        <v>102</v>
      </c>
      <c r="B9" s="4" t="s">
        <v>103</v>
      </c>
      <c r="C9" s="4" t="s">
        <v>104</v>
      </c>
      <c r="D9" s="4" t="s">
        <v>43</v>
      </c>
      <c r="E9" s="4" t="s">
        <v>92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72.2480027120474</v>
      </c>
      <c r="K9" s="7" t="n">
        <v>174.642604187391</v>
      </c>
      <c r="L9" s="7" t="n">
        <v>315.343304766193</v>
      </c>
      <c r="M9" s="7" t="n">
        <v>163.290383916501</v>
      </c>
      <c r="N9" s="7" t="n">
        <v>31.5431109999109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24.941558262235</v>
      </c>
      <c r="T9" s="7" t="n">
        <v>8.43870913545797</v>
      </c>
      <c r="U9" s="7" t="n">
        <v>16.0626670817881</v>
      </c>
      <c r="V9" s="7" t="n">
        <v>15.4638573451859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</row>
    <row r="10" customFormat="false" ht="15" hidden="false" customHeight="false" outlineLevel="0" collapsed="false">
      <c r="A10" s="4" t="s">
        <v>102</v>
      </c>
      <c r="B10" s="4" t="s">
        <v>103</v>
      </c>
      <c r="C10" s="4" t="s">
        <v>104</v>
      </c>
      <c r="D10" s="4" t="s">
        <v>43</v>
      </c>
      <c r="E10" s="4" t="s">
        <v>93</v>
      </c>
      <c r="F10" s="7" t="n">
        <v>1060.56543966921</v>
      </c>
      <c r="G10" s="7" t="n">
        <v>428.236725010053</v>
      </c>
      <c r="H10" s="7" t="n">
        <v>141.246142943217</v>
      </c>
      <c r="I10" s="7" t="n">
        <v>1208.11705381667</v>
      </c>
      <c r="J10" s="7" t="n">
        <v>255.796760148197</v>
      </c>
      <c r="K10" s="7" t="n">
        <v>374.874178507539</v>
      </c>
      <c r="L10" s="7" t="n">
        <v>421.585774417779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</row>
    <row r="11" customFormat="false" ht="15" hidden="false" customHeight="false" outlineLevel="0" collapsed="false">
      <c r="A11" s="4" t="s">
        <v>105</v>
      </c>
      <c r="B11" s="4" t="s">
        <v>106</v>
      </c>
      <c r="C11" s="4" t="s">
        <v>107</v>
      </c>
      <c r="D11" s="4" t="s">
        <v>79</v>
      </c>
      <c r="E11" s="4" t="s">
        <v>91</v>
      </c>
      <c r="F11" s="7" t="n">
        <v>110157.460219805</v>
      </c>
      <c r="G11" s="7" t="n">
        <v>72716.9131890606</v>
      </c>
      <c r="H11" s="7" t="n">
        <v>198692.600744481</v>
      </c>
      <c r="I11" s="7" t="n">
        <v>368336.434118376</v>
      </c>
      <c r="J11" s="7" t="n">
        <v>311633.745894105</v>
      </c>
      <c r="K11" s="7" t="n">
        <v>148417.130035539</v>
      </c>
      <c r="L11" s="7" t="n">
        <v>355457.541312798</v>
      </c>
      <c r="M11" s="7" t="n">
        <v>505862.966483338</v>
      </c>
      <c r="N11" s="7" t="n">
        <v>240823.806659056</v>
      </c>
      <c r="O11" s="7" t="n">
        <v>343696.228867054</v>
      </c>
      <c r="P11" s="7" t="n">
        <v>242744.46652506</v>
      </c>
      <c r="Q11" s="7" t="n">
        <v>284814.656297788</v>
      </c>
      <c r="R11" s="7" t="n">
        <v>248130.976026577</v>
      </c>
      <c r="S11" s="7" t="n">
        <v>176219.62594205</v>
      </c>
      <c r="T11" s="7" t="n">
        <v>33176.2141243458</v>
      </c>
      <c r="U11" s="7" t="n">
        <v>170428.071099581</v>
      </c>
      <c r="V11" s="7" t="n">
        <v>169005.381905074</v>
      </c>
      <c r="W11" s="7" t="n">
        <v>125386.49204087</v>
      </c>
      <c r="X11" s="7" t="n">
        <v>101373.123940975</v>
      </c>
      <c r="Y11" s="7" t="n">
        <v>19561.3728376736</v>
      </c>
      <c r="Z11" s="7" t="n">
        <v>12911.4984680618</v>
      </c>
      <c r="AA11" s="7" t="n">
        <v>5275.63265227187</v>
      </c>
      <c r="AB11" s="7" t="n">
        <v>1098.84598346819</v>
      </c>
    </row>
    <row r="12" customFormat="false" ht="15" hidden="false" customHeight="false" outlineLevel="0" collapsed="false">
      <c r="A12" s="4" t="s">
        <v>105</v>
      </c>
      <c r="B12" s="4" t="s">
        <v>106</v>
      </c>
      <c r="C12" s="4" t="s">
        <v>107</v>
      </c>
      <c r="D12" s="4" t="s">
        <v>79</v>
      </c>
      <c r="E12" s="4" t="s">
        <v>92</v>
      </c>
      <c r="F12" s="7" t="n">
        <v>1127.88616654515</v>
      </c>
      <c r="G12" s="7" t="n">
        <v>979.613301025032</v>
      </c>
      <c r="H12" s="7" t="n">
        <v>983.300124302548</v>
      </c>
      <c r="I12" s="7" t="n">
        <v>1202.42220504691</v>
      </c>
      <c r="J12" s="7" t="n">
        <v>1344.62527878109</v>
      </c>
      <c r="K12" s="7" t="n">
        <v>1378.36717516927</v>
      </c>
      <c r="L12" s="7" t="n">
        <v>1225.18115274867</v>
      </c>
      <c r="M12" s="7" t="n">
        <v>1611.968467582</v>
      </c>
      <c r="N12" s="7" t="n">
        <v>1034.78317369217</v>
      </c>
      <c r="O12" s="7" t="n">
        <v>886.379777136781</v>
      </c>
      <c r="P12" s="7" t="n">
        <v>705.944601258234</v>
      </c>
      <c r="Q12" s="7" t="n">
        <v>1370.47993217678</v>
      </c>
      <c r="R12" s="7" t="n">
        <v>782.954650403502</v>
      </c>
      <c r="S12" s="7" t="n">
        <v>792.287640978502</v>
      </c>
      <c r="T12" s="7" t="n">
        <v>614.616942107412</v>
      </c>
      <c r="U12" s="7" t="n">
        <v>1873.12644346476</v>
      </c>
      <c r="V12" s="7" t="n">
        <v>1923.04961315973</v>
      </c>
      <c r="W12" s="7" t="n">
        <v>9819.48458926205</v>
      </c>
      <c r="X12" s="7" t="n">
        <v>6484.35739368871</v>
      </c>
      <c r="Y12" s="7" t="n">
        <v>31455.01374049</v>
      </c>
      <c r="Z12" s="7" t="n">
        <v>30258.9462014055</v>
      </c>
      <c r="AA12" s="7" t="n">
        <v>33386.3391650247</v>
      </c>
      <c r="AB12" s="7" t="n">
        <v>31700.0997023067</v>
      </c>
    </row>
    <row r="13" customFormat="false" ht="15" hidden="false" customHeight="false" outlineLevel="0" collapsed="false">
      <c r="A13" s="4" t="s">
        <v>105</v>
      </c>
      <c r="B13" s="4" t="s">
        <v>106</v>
      </c>
      <c r="C13" s="4" t="s">
        <v>107</v>
      </c>
      <c r="D13" s="4" t="s">
        <v>79</v>
      </c>
      <c r="E13" s="4" t="s">
        <v>93</v>
      </c>
      <c r="F13" s="7" t="n">
        <v>7861.72317199875</v>
      </c>
      <c r="G13" s="7" t="n">
        <v>4201.66375667924</v>
      </c>
      <c r="H13" s="7" t="n">
        <v>6256.64017934457</v>
      </c>
      <c r="I13" s="7" t="n">
        <v>8655.81420902127</v>
      </c>
      <c r="J13" s="7" t="n">
        <v>9668.5828813716</v>
      </c>
      <c r="K13" s="7" t="n">
        <v>11100</v>
      </c>
      <c r="L13" s="7" t="n">
        <v>11100</v>
      </c>
      <c r="M13" s="7" t="n">
        <v>13933.3333333333</v>
      </c>
      <c r="N13" s="7" t="n">
        <v>7432.53479424901</v>
      </c>
      <c r="O13" s="7" t="n">
        <v>10053.8399915014</v>
      </c>
      <c r="P13" s="7" t="n">
        <v>13116.62705728</v>
      </c>
      <c r="Q13" s="7" t="n">
        <v>19600</v>
      </c>
      <c r="R13" s="7" t="n">
        <v>17550.7475411378</v>
      </c>
      <c r="S13" s="7" t="n">
        <v>15328.0533932445</v>
      </c>
      <c r="T13" s="7" t="n">
        <v>12612.8403401477</v>
      </c>
      <c r="U13" s="7" t="n">
        <v>12850.2822685303</v>
      </c>
      <c r="V13" s="7" t="n">
        <v>13430.718272826</v>
      </c>
      <c r="W13" s="7" t="n">
        <v>11901.5929602928</v>
      </c>
      <c r="X13" s="7" t="n">
        <v>11604.1609960006</v>
      </c>
      <c r="Y13" s="7" t="n">
        <v>12169.9726092408</v>
      </c>
      <c r="Z13" s="7" t="n">
        <v>12167.7794662395</v>
      </c>
      <c r="AA13" s="7" t="n">
        <v>16875.725040141</v>
      </c>
      <c r="AB13" s="7" t="n">
        <v>15626.4618647189</v>
      </c>
    </row>
    <row r="14" customFormat="false" ht="15" hidden="false" customHeight="false" outlineLevel="0" collapsed="false">
      <c r="A14" s="4" t="s">
        <v>108</v>
      </c>
      <c r="B14" s="4" t="s">
        <v>109</v>
      </c>
      <c r="C14" s="4" t="s">
        <v>99</v>
      </c>
      <c r="D14" s="4" t="s">
        <v>43</v>
      </c>
      <c r="E14" s="4" t="s">
        <v>91</v>
      </c>
      <c r="F14" s="7" t="n">
        <v>12.8776844081032</v>
      </c>
      <c r="G14" s="7" t="n">
        <v>3.23549516725565</v>
      </c>
      <c r="H14" s="7" t="n">
        <v>1.42735841270428</v>
      </c>
      <c r="I14" s="7" t="n">
        <v>1.76037178344727</v>
      </c>
      <c r="J14" s="7" t="n">
        <v>0</v>
      </c>
      <c r="K14" s="7" t="n">
        <v>24.5170813721661</v>
      </c>
      <c r="L14" s="7" t="n">
        <v>0.0590080078125</v>
      </c>
      <c r="M14" s="7" t="n">
        <v>19.839140435791</v>
      </c>
      <c r="N14" s="7" t="n">
        <v>26.8863881055645</v>
      </c>
      <c r="O14" s="7" t="n">
        <v>28.0377159938917</v>
      </c>
      <c r="P14" s="7" t="n">
        <v>24.8645622349638</v>
      </c>
      <c r="Q14" s="7" t="n">
        <v>20.2444760631367</v>
      </c>
      <c r="R14" s="7" t="n">
        <v>9.16000180664062</v>
      </c>
      <c r="S14" s="7" t="n">
        <v>4.15792197265625</v>
      </c>
      <c r="T14" s="7" t="n">
        <v>0.457260514682581</v>
      </c>
      <c r="U14" s="7" t="n">
        <v>5.55922636621044</v>
      </c>
      <c r="V14" s="7" t="n">
        <v>4.56173395514171</v>
      </c>
      <c r="W14" s="7" t="n">
        <v>0.341382752491482</v>
      </c>
      <c r="X14" s="7" t="n">
        <v>0.132778865873288</v>
      </c>
      <c r="Y14" s="7" t="n">
        <v>0.459523462179561</v>
      </c>
      <c r="Z14" s="7" t="n">
        <v>0.264293094112066</v>
      </c>
      <c r="AA14" s="7" t="n">
        <v>0.343228291423251</v>
      </c>
      <c r="AB14" s="7" t="n">
        <v>0.719659916743274</v>
      </c>
    </row>
    <row r="15" customFormat="false" ht="15" hidden="false" customHeight="false" outlineLevel="0" collapsed="false">
      <c r="A15" s="4" t="s">
        <v>108</v>
      </c>
      <c r="B15" s="4" t="s">
        <v>109</v>
      </c>
      <c r="C15" s="4" t="s">
        <v>99</v>
      </c>
      <c r="D15" s="4" t="s">
        <v>43</v>
      </c>
      <c r="E15" s="4" t="s">
        <v>92</v>
      </c>
      <c r="F15" s="7" t="n">
        <v>18.8466395420922</v>
      </c>
      <c r="G15" s="7" t="n">
        <v>26.7497982708906</v>
      </c>
      <c r="H15" s="7" t="n">
        <v>70.7572548152417</v>
      </c>
      <c r="I15" s="7" t="n">
        <v>17.0900882224169</v>
      </c>
      <c r="J15" s="7" t="n">
        <v>11.3874294799805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0.128253791958044</v>
      </c>
      <c r="U15" s="7" t="n">
        <v>1.22872808935597</v>
      </c>
      <c r="V15" s="7" t="n">
        <v>1.25664979119618</v>
      </c>
      <c r="W15" s="7" t="n">
        <v>0.242290001414768</v>
      </c>
      <c r="X15" s="7" t="n">
        <v>0.218356815279056</v>
      </c>
      <c r="Y15" s="7" t="n">
        <v>0.603078655740361</v>
      </c>
      <c r="Z15" s="7" t="n">
        <v>0.554312252567622</v>
      </c>
      <c r="AA15" s="7" t="n">
        <v>1.14421173543222</v>
      </c>
      <c r="AB15" s="7" t="n">
        <v>1.48307423242665</v>
      </c>
    </row>
    <row r="16" customFormat="false" ht="15" hidden="false" customHeight="false" outlineLevel="0" collapsed="false">
      <c r="A16" s="4" t="s">
        <v>108</v>
      </c>
      <c r="B16" s="4" t="s">
        <v>109</v>
      </c>
      <c r="C16" s="4" t="s">
        <v>99</v>
      </c>
      <c r="D16" s="4" t="s">
        <v>43</v>
      </c>
      <c r="E16" s="4" t="s">
        <v>93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</row>
    <row r="17" customFormat="false" ht="15" hidden="false" customHeight="false" outlineLevel="0" collapsed="false">
      <c r="A17" s="4" t="s">
        <v>110</v>
      </c>
      <c r="B17" s="4" t="s">
        <v>111</v>
      </c>
      <c r="C17" s="4" t="s">
        <v>112</v>
      </c>
      <c r="D17" s="4" t="s">
        <v>79</v>
      </c>
      <c r="E17" s="4" t="s">
        <v>91</v>
      </c>
      <c r="F17" s="7" t="n">
        <v>1.67900290302003</v>
      </c>
      <c r="G17" s="7" t="n">
        <v>1.27500702447284</v>
      </c>
      <c r="H17" s="7" t="n">
        <v>0.140895159324193</v>
      </c>
      <c r="I17" s="7" t="n">
        <v>0.282060544167195</v>
      </c>
      <c r="J17" s="7" t="n">
        <v>0.501844453462475</v>
      </c>
      <c r="K17" s="7" t="n">
        <v>0.391767712186992</v>
      </c>
      <c r="L17" s="7" t="n">
        <v>0.263904666570533</v>
      </c>
      <c r="M17" s="7" t="n">
        <v>0.342377783577437</v>
      </c>
      <c r="N17" s="7" t="n">
        <v>0.367510675048828</v>
      </c>
      <c r="O17" s="7" t="n">
        <v>0.820796601738506</v>
      </c>
      <c r="P17" s="7" t="n">
        <v>0.864793159062721</v>
      </c>
      <c r="Q17" s="7" t="n">
        <v>1.91829217798326</v>
      </c>
      <c r="R17" s="7" t="n">
        <v>0.52838275475778</v>
      </c>
      <c r="S17" s="7" t="n">
        <v>1.2847778015952</v>
      </c>
      <c r="T17" s="7" t="n">
        <v>1.25168267211914</v>
      </c>
      <c r="U17" s="7" t="n">
        <v>3.90125595092774</v>
      </c>
      <c r="V17" s="7" t="n">
        <v>37.3333333333333</v>
      </c>
      <c r="W17" s="7" t="n">
        <v>42.7372065612791</v>
      </c>
      <c r="X17" s="7" t="n">
        <v>7.7096162227855</v>
      </c>
      <c r="Y17" s="7" t="n">
        <v>0</v>
      </c>
      <c r="Z17" s="7" t="n">
        <v>0</v>
      </c>
      <c r="AA17" s="7" t="n">
        <v>0</v>
      </c>
      <c r="AB17" s="7" t="n">
        <v>0</v>
      </c>
    </row>
    <row r="18" customFormat="false" ht="15" hidden="false" customHeight="false" outlineLevel="0" collapsed="false">
      <c r="A18" s="4" t="s">
        <v>110</v>
      </c>
      <c r="B18" s="4" t="s">
        <v>111</v>
      </c>
      <c r="C18" s="4" t="s">
        <v>112</v>
      </c>
      <c r="D18" s="4" t="s">
        <v>79</v>
      </c>
      <c r="E18" s="4" t="s">
        <v>92</v>
      </c>
      <c r="F18" s="7" t="n">
        <v>1.33900992656982</v>
      </c>
      <c r="G18" s="7" t="n">
        <v>1.44605055609357</v>
      </c>
      <c r="H18" s="7" t="n">
        <v>0.889783875099635</v>
      </c>
      <c r="I18" s="7" t="n">
        <v>1.7792728908914</v>
      </c>
      <c r="J18" s="7" t="n">
        <v>2.36936833340276</v>
      </c>
      <c r="K18" s="7" t="n">
        <v>3.43321215841848</v>
      </c>
      <c r="L18" s="7" t="n">
        <v>3.85766166033376</v>
      </c>
      <c r="M18" s="7" t="n">
        <v>6.2058023861003</v>
      </c>
      <c r="N18" s="7" t="n">
        <v>5.29707952270508</v>
      </c>
      <c r="O18" s="7" t="n">
        <v>2.34438935407204</v>
      </c>
      <c r="P18" s="7" t="n">
        <v>4.06807331432595</v>
      </c>
      <c r="Q18" s="7" t="n">
        <v>4.41202876928237</v>
      </c>
      <c r="R18" s="7" t="n">
        <v>0.943918044802767</v>
      </c>
      <c r="S18" s="7" t="n">
        <v>2.1753834471841</v>
      </c>
      <c r="T18" s="7" t="n">
        <v>0.588989660644531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0.736299407958984</v>
      </c>
      <c r="Z18" s="7" t="n">
        <v>0.441464636230469</v>
      </c>
      <c r="AA18" s="7" t="n">
        <v>2.35609736938477</v>
      </c>
      <c r="AB18" s="7" t="n">
        <v>0.810132147216797</v>
      </c>
    </row>
    <row r="19" customFormat="false" ht="15" hidden="false" customHeight="false" outlineLevel="0" collapsed="false">
      <c r="A19" s="4" t="s">
        <v>110</v>
      </c>
      <c r="B19" s="4" t="s">
        <v>111</v>
      </c>
      <c r="C19" s="4" t="s">
        <v>112</v>
      </c>
      <c r="D19" s="4" t="s">
        <v>79</v>
      </c>
      <c r="E19" s="4" t="s">
        <v>93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</row>
    <row r="20" customFormat="false" ht="15" hidden="false" customHeight="false" outlineLevel="0" collapsed="false">
      <c r="A20" s="4" t="s">
        <v>113</v>
      </c>
      <c r="B20" s="4" t="s">
        <v>114</v>
      </c>
      <c r="C20" s="4" t="s">
        <v>115</v>
      </c>
      <c r="D20" s="4" t="s">
        <v>39</v>
      </c>
      <c r="E20" s="4" t="s">
        <v>91</v>
      </c>
      <c r="F20" s="7" t="n">
        <v>7044.29202873781</v>
      </c>
      <c r="G20" s="7" t="n">
        <v>8891.36568545918</v>
      </c>
      <c r="H20" s="7" t="n">
        <v>14814.6028528936</v>
      </c>
      <c r="I20" s="7" t="n">
        <v>491.143423486328</v>
      </c>
      <c r="J20" s="7" t="n">
        <v>801.323204956054</v>
      </c>
      <c r="K20" s="7" t="n">
        <v>12774.169439551</v>
      </c>
      <c r="L20" s="7" t="n">
        <v>13180.859365197</v>
      </c>
      <c r="M20" s="7" t="n">
        <v>10086.5055694265</v>
      </c>
      <c r="N20" s="7" t="n">
        <v>10695.5569981981</v>
      </c>
      <c r="O20" s="7" t="n">
        <v>7550.62318820808</v>
      </c>
      <c r="P20" s="7" t="n">
        <v>7159.71560747748</v>
      </c>
      <c r="Q20" s="7" t="n">
        <v>2494.98696486452</v>
      </c>
      <c r="R20" s="7" t="n">
        <v>655.543845712723</v>
      </c>
      <c r="S20" s="7" t="n">
        <v>819.629666938022</v>
      </c>
      <c r="T20" s="7" t="n">
        <v>699.441674780274</v>
      </c>
      <c r="U20" s="7" t="n">
        <v>763.712130177241</v>
      </c>
      <c r="V20" s="7" t="n">
        <v>9901.67386125503</v>
      </c>
      <c r="W20" s="7" t="n">
        <v>219.189755627441</v>
      </c>
      <c r="X20" s="7" t="n">
        <v>2570.38160090385</v>
      </c>
      <c r="Y20" s="7" t="n">
        <v>0</v>
      </c>
      <c r="Z20" s="7" t="n">
        <v>0</v>
      </c>
      <c r="AA20" s="7" t="n">
        <v>0</v>
      </c>
      <c r="AB20" s="7" t="n">
        <v>0</v>
      </c>
    </row>
    <row r="21" customFormat="false" ht="15" hidden="false" customHeight="false" outlineLevel="0" collapsed="false">
      <c r="A21" s="4" t="s">
        <v>113</v>
      </c>
      <c r="B21" s="4" t="s">
        <v>114</v>
      </c>
      <c r="C21" s="4" t="s">
        <v>115</v>
      </c>
      <c r="D21" s="4" t="s">
        <v>39</v>
      </c>
      <c r="E21" s="4" t="s">
        <v>92</v>
      </c>
      <c r="F21" s="7" t="n">
        <v>0</v>
      </c>
      <c r="G21" s="7" t="n">
        <v>0</v>
      </c>
      <c r="H21" s="7" t="n">
        <v>0</v>
      </c>
      <c r="I21" s="7" t="n">
        <v>12074.4672200901</v>
      </c>
      <c r="J21" s="7" t="n">
        <v>0</v>
      </c>
      <c r="K21" s="7" t="n">
        <v>0</v>
      </c>
      <c r="L21" s="7" t="n">
        <v>0</v>
      </c>
      <c r="M21" s="7" t="n">
        <v>432.943741931106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7188.33654857922</v>
      </c>
      <c r="U21" s="7" t="n">
        <v>12706.9027144933</v>
      </c>
      <c r="V21" s="7" t="n">
        <v>0</v>
      </c>
      <c r="W21" s="7" t="n">
        <v>7496.68066766138</v>
      </c>
      <c r="X21" s="7" t="n">
        <v>7842.28629459908</v>
      </c>
      <c r="Y21" s="7" t="n">
        <v>6275.26630579075</v>
      </c>
      <c r="Z21" s="7" t="n">
        <v>5169.34557089796</v>
      </c>
      <c r="AA21" s="7" t="n">
        <v>4857.5935467305</v>
      </c>
      <c r="AB21" s="7" t="n">
        <v>4456.91318225488</v>
      </c>
    </row>
    <row r="22" customFormat="false" ht="15" hidden="false" customHeight="false" outlineLevel="0" collapsed="false">
      <c r="A22" s="4" t="s">
        <v>113</v>
      </c>
      <c r="B22" s="4" t="s">
        <v>114</v>
      </c>
      <c r="C22" s="4" t="s">
        <v>115</v>
      </c>
      <c r="D22" s="4" t="s">
        <v>39</v>
      </c>
      <c r="E22" s="4" t="s">
        <v>93</v>
      </c>
      <c r="F22" s="7" t="n">
        <v>19041.8524527359</v>
      </c>
      <c r="G22" s="7" t="n">
        <v>21163.2368836656</v>
      </c>
      <c r="H22" s="7" t="n">
        <v>30301.4890340837</v>
      </c>
      <c r="I22" s="7" t="n">
        <v>27383.9491139629</v>
      </c>
      <c r="J22" s="7" t="n">
        <v>26580.5454228163</v>
      </c>
      <c r="K22" s="7" t="n">
        <v>25385.9507420457</v>
      </c>
      <c r="L22" s="7" t="n">
        <v>35522.2984484403</v>
      </c>
      <c r="M22" s="7" t="n">
        <v>27490.696055081</v>
      </c>
      <c r="N22" s="7" t="n">
        <v>12740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</row>
    <row r="23" customFormat="false" ht="15" hidden="false" customHeight="false" outlineLevel="0" collapsed="false">
      <c r="A23" s="4" t="s">
        <v>116</v>
      </c>
      <c r="B23" s="4" t="s">
        <v>117</v>
      </c>
      <c r="C23" s="4" t="s">
        <v>104</v>
      </c>
      <c r="D23" s="4" t="s">
        <v>41</v>
      </c>
      <c r="E23" s="4" t="s">
        <v>91</v>
      </c>
      <c r="F23" s="7" t="n">
        <v>95.9415895034371</v>
      </c>
      <c r="G23" s="7" t="n">
        <v>121.32897520673</v>
      </c>
      <c r="H23" s="7" t="n">
        <v>45.2196542444087</v>
      </c>
      <c r="I23" s="7" t="n">
        <v>114.594622722371</v>
      </c>
      <c r="J23" s="7" t="n">
        <v>33.3014762278598</v>
      </c>
      <c r="K23" s="7" t="n">
        <v>20.5890250211349</v>
      </c>
      <c r="L23" s="7" t="n">
        <v>59.7036339937936</v>
      </c>
      <c r="M23" s="7" t="n">
        <v>29.7392816641654</v>
      </c>
      <c r="N23" s="7" t="n">
        <v>32.3438928841744</v>
      </c>
      <c r="O23" s="7" t="n">
        <v>33.478917803979</v>
      </c>
      <c r="P23" s="7" t="n">
        <v>36.1203327298033</v>
      </c>
      <c r="Q23" s="7" t="n">
        <v>28.9504403451</v>
      </c>
      <c r="R23" s="7" t="n">
        <v>14.5353079864502</v>
      </c>
      <c r="S23" s="7" t="n">
        <v>22.0295713214829</v>
      </c>
      <c r="T23" s="7" t="n">
        <v>9.8564860168457</v>
      </c>
      <c r="U23" s="7" t="n">
        <v>44.0298769097661</v>
      </c>
      <c r="V23" s="7" t="n">
        <v>161.164462503686</v>
      </c>
      <c r="W23" s="7" t="n">
        <v>144.527742751465</v>
      </c>
      <c r="X23" s="7" t="n">
        <v>110.260761002257</v>
      </c>
      <c r="Y23" s="7" t="n">
        <v>1.18443274796892</v>
      </c>
      <c r="Z23" s="7" t="n">
        <v>8.92278701528551</v>
      </c>
      <c r="AA23" s="7" t="n">
        <v>13.4329068291946</v>
      </c>
      <c r="AB23" s="7" t="n">
        <v>10.0684739928772</v>
      </c>
    </row>
    <row r="24" customFormat="false" ht="15" hidden="false" customHeight="false" outlineLevel="0" collapsed="false">
      <c r="A24" s="4" t="s">
        <v>116</v>
      </c>
      <c r="B24" s="4" t="s">
        <v>117</v>
      </c>
      <c r="C24" s="4" t="s">
        <v>104</v>
      </c>
      <c r="D24" s="4" t="s">
        <v>41</v>
      </c>
      <c r="E24" s="4" t="s">
        <v>92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72.7437266034055</v>
      </c>
      <c r="V24" s="7" t="n">
        <v>0</v>
      </c>
      <c r="W24" s="7" t="n">
        <v>0</v>
      </c>
      <c r="X24" s="7" t="n">
        <v>0</v>
      </c>
      <c r="Y24" s="7" t="n">
        <v>69.7186874422094</v>
      </c>
      <c r="Z24" s="7" t="n">
        <v>30.6279618779197</v>
      </c>
      <c r="AA24" s="7" t="n">
        <v>24.7352184118943</v>
      </c>
      <c r="AB24" s="7" t="n">
        <v>34.0386035828064</v>
      </c>
    </row>
    <row r="25" customFormat="false" ht="15" hidden="false" customHeight="false" outlineLevel="0" collapsed="false">
      <c r="A25" s="4" t="s">
        <v>116</v>
      </c>
      <c r="B25" s="4" t="s">
        <v>117</v>
      </c>
      <c r="C25" s="4" t="s">
        <v>104</v>
      </c>
      <c r="D25" s="4" t="s">
        <v>41</v>
      </c>
      <c r="E25" s="4" t="s">
        <v>93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</row>
    <row r="26" customFormat="false" ht="15" hidden="false" customHeight="false" outlineLevel="0" collapsed="false">
      <c r="A26" s="4" t="s">
        <v>118</v>
      </c>
      <c r="B26" s="4" t="s">
        <v>119</v>
      </c>
      <c r="C26" s="4" t="s">
        <v>99</v>
      </c>
      <c r="D26" s="4" t="s">
        <v>43</v>
      </c>
      <c r="E26" s="4" t="s">
        <v>91</v>
      </c>
      <c r="F26" s="7" t="n">
        <v>61.0154924851601</v>
      </c>
      <c r="G26" s="7" t="n">
        <v>37.1782184670633</v>
      </c>
      <c r="H26" s="7" t="n">
        <v>15.1892351114889</v>
      </c>
      <c r="I26" s="7" t="n">
        <v>122.134050100912</v>
      </c>
      <c r="J26" s="7" t="n">
        <v>59.3885172305319</v>
      </c>
      <c r="K26" s="7" t="n">
        <v>104.908263860934</v>
      </c>
      <c r="L26" s="7" t="n">
        <v>85.4229957472627</v>
      </c>
      <c r="M26" s="7" t="n">
        <v>72.0300218443166</v>
      </c>
      <c r="N26" s="7" t="n">
        <v>63.8198761225026</v>
      </c>
      <c r="O26" s="7" t="n">
        <v>140.937365938007</v>
      </c>
      <c r="P26" s="7" t="n">
        <v>44.8887775118419</v>
      </c>
      <c r="Q26" s="7" t="n">
        <v>91.2936115010613</v>
      </c>
      <c r="R26" s="7" t="n">
        <v>50.0119114080451</v>
      </c>
      <c r="S26" s="7" t="n">
        <v>43.9051561390773</v>
      </c>
      <c r="T26" s="7" t="n">
        <v>1.4620147090912</v>
      </c>
      <c r="U26" s="7" t="n">
        <v>9.35761285962054</v>
      </c>
      <c r="V26" s="7" t="n">
        <v>13.1656525979335</v>
      </c>
      <c r="W26" s="7" t="n">
        <v>2.67995468800732</v>
      </c>
      <c r="X26" s="7" t="n">
        <v>4.31202051225393</v>
      </c>
      <c r="Y26" s="7" t="n">
        <v>5.82815109992465</v>
      </c>
      <c r="Z26" s="7" t="n">
        <v>12.9351617430802</v>
      </c>
      <c r="AA26" s="7" t="n">
        <v>3.56950180498186</v>
      </c>
      <c r="AB26" s="7" t="n">
        <v>11.0738608773825</v>
      </c>
    </row>
    <row r="27" customFormat="false" ht="15" hidden="false" customHeight="false" outlineLevel="0" collapsed="false">
      <c r="A27" s="4" t="s">
        <v>118</v>
      </c>
      <c r="B27" s="4" t="s">
        <v>119</v>
      </c>
      <c r="C27" s="4" t="s">
        <v>99</v>
      </c>
      <c r="D27" s="4" t="s">
        <v>43</v>
      </c>
      <c r="E27" s="4" t="s">
        <v>92</v>
      </c>
      <c r="F27" s="7" t="n">
        <v>93.5435321746532</v>
      </c>
      <c r="G27" s="7" t="n">
        <v>167.156477336514</v>
      </c>
      <c r="H27" s="7" t="n">
        <v>159.260921727402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1.97845321131582</v>
      </c>
      <c r="AA27" s="7" t="n">
        <v>1.37603701323436</v>
      </c>
      <c r="AB27" s="7" t="n">
        <v>1.98520599174413</v>
      </c>
    </row>
    <row r="28" customFormat="false" ht="15" hidden="false" customHeight="false" outlineLevel="0" collapsed="false">
      <c r="A28" s="4" t="s">
        <v>118</v>
      </c>
      <c r="B28" s="4" t="s">
        <v>119</v>
      </c>
      <c r="C28" s="4" t="s">
        <v>99</v>
      </c>
      <c r="D28" s="4" t="s">
        <v>43</v>
      </c>
      <c r="E28" s="4" t="s">
        <v>93</v>
      </c>
      <c r="F28" s="7" t="n">
        <v>10.1421637644983</v>
      </c>
      <c r="G28" s="7" t="n">
        <v>7.341038721378</v>
      </c>
      <c r="H28" s="7" t="n">
        <v>45.0000000000006</v>
      </c>
      <c r="I28" s="7" t="n">
        <v>10.8338324911916</v>
      </c>
      <c r="J28" s="7" t="n">
        <v>3.99411212493689</v>
      </c>
      <c r="K28" s="7" t="n">
        <v>6.76902616563477</v>
      </c>
      <c r="L28" s="7" t="n">
        <v>7.17186486890518</v>
      </c>
      <c r="M28" s="7" t="n">
        <v>6.53890932023411</v>
      </c>
      <c r="N28" s="7" t="n">
        <v>9.2467579229076</v>
      </c>
      <c r="O28" s="7" t="n">
        <v>22.9543078809984</v>
      </c>
      <c r="P28" s="7" t="n">
        <v>5.36997886226297</v>
      </c>
      <c r="Q28" s="7" t="n">
        <v>12.8506675355407</v>
      </c>
      <c r="R28" s="7" t="n">
        <v>0</v>
      </c>
      <c r="S28" s="7" t="n">
        <v>0.744061635892017</v>
      </c>
      <c r="T28" s="7" t="n">
        <v>0.00295860633848444</v>
      </c>
      <c r="U28" s="7" t="n">
        <v>0.878702778089131</v>
      </c>
      <c r="V28" s="7" t="n">
        <v>3.00482137057233</v>
      </c>
      <c r="W28" s="7" t="n">
        <v>2.515511840313</v>
      </c>
      <c r="X28" s="7" t="n">
        <v>0.0579069230488076</v>
      </c>
      <c r="Y28" s="7" t="n">
        <v>1.38809585442105</v>
      </c>
      <c r="Z28" s="7" t="n">
        <v>0.538571514109874</v>
      </c>
      <c r="AA28" s="7" t="n">
        <v>1.381476892233</v>
      </c>
      <c r="AB28" s="7" t="n">
        <v>3.46890805763123</v>
      </c>
    </row>
    <row r="29" customFormat="false" ht="15" hidden="false" customHeight="false" outlineLevel="0" collapsed="false">
      <c r="A29" s="4" t="s">
        <v>120</v>
      </c>
      <c r="B29" s="4" t="s">
        <v>121</v>
      </c>
      <c r="C29" s="4" t="s">
        <v>101</v>
      </c>
      <c r="D29" s="4" t="s">
        <v>61</v>
      </c>
      <c r="E29" s="4" t="s">
        <v>91</v>
      </c>
      <c r="F29" s="7" t="n">
        <v>538.831773385154</v>
      </c>
      <c r="G29" s="7" t="n">
        <v>95.76703684465</v>
      </c>
      <c r="H29" s="7" t="n">
        <v>134.786171497157</v>
      </c>
      <c r="I29" s="7" t="n">
        <v>71.5906448483935</v>
      </c>
      <c r="J29" s="7" t="n">
        <v>384.471962395485</v>
      </c>
      <c r="K29" s="7" t="n">
        <v>106.860567269221</v>
      </c>
      <c r="L29" s="7" t="n">
        <v>591.554385692708</v>
      </c>
      <c r="M29" s="7" t="n">
        <v>784.61685094162</v>
      </c>
      <c r="N29" s="7" t="n">
        <v>345.581893097562</v>
      </c>
      <c r="O29" s="7" t="n">
        <v>668.986953162262</v>
      </c>
      <c r="P29" s="7" t="n">
        <v>455.856076383964</v>
      </c>
      <c r="Q29" s="7" t="n">
        <v>365.532464891904</v>
      </c>
      <c r="R29" s="7" t="n">
        <v>622.962035467966</v>
      </c>
      <c r="S29" s="7" t="n">
        <v>623.123274869664</v>
      </c>
      <c r="T29" s="7" t="n">
        <v>455.610001664698</v>
      </c>
      <c r="U29" s="7" t="n">
        <v>492.397619445776</v>
      </c>
      <c r="V29" s="7" t="n">
        <v>445.192316384043</v>
      </c>
      <c r="W29" s="7" t="n">
        <v>793.623646487015</v>
      </c>
      <c r="X29" s="7" t="n">
        <v>535.573950164794</v>
      </c>
      <c r="Y29" s="7" t="n">
        <v>542.777816231556</v>
      </c>
      <c r="Z29" s="7" t="n">
        <v>554.473083651543</v>
      </c>
      <c r="AA29" s="7" t="n">
        <v>382.054103509559</v>
      </c>
      <c r="AB29" s="7" t="n">
        <v>429.460552101213</v>
      </c>
    </row>
    <row r="30" customFormat="false" ht="15" hidden="false" customHeight="false" outlineLevel="0" collapsed="false">
      <c r="A30" s="4" t="s">
        <v>120</v>
      </c>
      <c r="B30" s="4" t="s">
        <v>121</v>
      </c>
      <c r="C30" s="4" t="s">
        <v>101</v>
      </c>
      <c r="D30" s="4" t="s">
        <v>61</v>
      </c>
      <c r="E30" s="4" t="s">
        <v>92</v>
      </c>
      <c r="F30" s="7" t="n">
        <v>0</v>
      </c>
      <c r="G30" s="7" t="n">
        <v>268.583171799891</v>
      </c>
      <c r="H30" s="7" t="n">
        <v>275.778096759392</v>
      </c>
      <c r="I30" s="7" t="n">
        <v>169.42473955406</v>
      </c>
      <c r="J30" s="7" t="n">
        <v>51.5650721875848</v>
      </c>
      <c r="K30" s="7" t="n">
        <v>9.34130801173271</v>
      </c>
      <c r="L30" s="7" t="n">
        <v>64.6929434376964</v>
      </c>
      <c r="M30" s="7" t="n">
        <v>62.9544485964272</v>
      </c>
      <c r="N30" s="7" t="n">
        <v>10.5480965085343</v>
      </c>
      <c r="O30" s="7" t="n">
        <v>6.01151943443704</v>
      </c>
      <c r="P30" s="7" t="n">
        <v>1.01817222627746</v>
      </c>
      <c r="Q30" s="7" t="n">
        <v>0.881826035902453</v>
      </c>
      <c r="R30" s="7" t="n">
        <v>0.403395837468332</v>
      </c>
      <c r="S30" s="7" t="n">
        <v>5.71855296935617</v>
      </c>
      <c r="T30" s="7" t="n">
        <v>2.59262275826851</v>
      </c>
      <c r="U30" s="7" t="n">
        <v>3.42012739676816</v>
      </c>
      <c r="V30" s="7" t="n">
        <v>1.37840288532967</v>
      </c>
      <c r="W30" s="7" t="n">
        <v>9.1624369279617</v>
      </c>
      <c r="X30" s="7" t="n">
        <v>7.02682147628542</v>
      </c>
      <c r="Y30" s="7" t="n">
        <v>7.6597745189846</v>
      </c>
      <c r="Z30" s="7" t="n">
        <v>2.27593714272806</v>
      </c>
      <c r="AA30" s="7" t="n">
        <v>1.41354448889487</v>
      </c>
      <c r="AB30" s="7" t="n">
        <v>3.14941484987738</v>
      </c>
    </row>
    <row r="31" customFormat="false" ht="15" hidden="false" customHeight="false" outlineLevel="0" collapsed="false">
      <c r="A31" s="4" t="s">
        <v>120</v>
      </c>
      <c r="B31" s="4" t="s">
        <v>121</v>
      </c>
      <c r="C31" s="4" t="s">
        <v>101</v>
      </c>
      <c r="D31" s="4" t="s">
        <v>61</v>
      </c>
      <c r="E31" s="4" t="s">
        <v>93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</row>
    <row r="32" customFormat="false" ht="15" hidden="false" customHeight="false" outlineLevel="0" collapsed="false">
      <c r="A32" s="4" t="s">
        <v>122</v>
      </c>
      <c r="B32" s="4" t="s">
        <v>123</v>
      </c>
      <c r="C32" s="4" t="s">
        <v>104</v>
      </c>
      <c r="D32" s="4" t="s">
        <v>41</v>
      </c>
      <c r="E32" s="4" t="s">
        <v>91</v>
      </c>
      <c r="F32" s="7" t="n">
        <v>102.519150922237</v>
      </c>
      <c r="G32" s="7" t="n">
        <v>103.04646050895</v>
      </c>
      <c r="H32" s="7" t="n">
        <v>32.977998011319</v>
      </c>
      <c r="I32" s="7" t="n">
        <v>70.5442955368341</v>
      </c>
      <c r="J32" s="7" t="n">
        <v>94.8731841725548</v>
      </c>
      <c r="K32" s="7" t="n">
        <v>32.2511488815487</v>
      </c>
      <c r="L32" s="7" t="n">
        <v>24.0959415863037</v>
      </c>
      <c r="M32" s="7" t="n">
        <v>27.5176720886231</v>
      </c>
      <c r="N32" s="7" t="n">
        <v>41.7941767486572</v>
      </c>
      <c r="O32" s="7" t="n">
        <v>44.0949599304199</v>
      </c>
      <c r="P32" s="7" t="n">
        <v>50.5360715820312</v>
      </c>
      <c r="Q32" s="7" t="n">
        <v>80.3240028429773</v>
      </c>
      <c r="R32" s="7" t="n">
        <v>25.2734000076961</v>
      </c>
      <c r="S32" s="7" t="n">
        <v>42.5493808784646</v>
      </c>
      <c r="T32" s="7" t="n">
        <v>44.5327471033299</v>
      </c>
      <c r="U32" s="7" t="n">
        <v>72.5176488789169</v>
      </c>
      <c r="V32" s="7" t="n">
        <v>99.596831716645</v>
      </c>
      <c r="W32" s="7" t="n">
        <v>115.461244921241</v>
      </c>
      <c r="X32" s="7" t="n">
        <v>106.561537829686</v>
      </c>
      <c r="Y32" s="7" t="n">
        <v>73.9691738735423</v>
      </c>
      <c r="Z32" s="7" t="n">
        <v>63.215114350203</v>
      </c>
      <c r="AA32" s="7" t="n">
        <v>38.8033335543763</v>
      </c>
      <c r="AB32" s="7" t="n">
        <v>31.70941686983</v>
      </c>
    </row>
    <row r="33" customFormat="false" ht="15" hidden="false" customHeight="false" outlineLevel="0" collapsed="false">
      <c r="A33" s="4" t="s">
        <v>122</v>
      </c>
      <c r="B33" s="4" t="s">
        <v>123</v>
      </c>
      <c r="C33" s="4" t="s">
        <v>104</v>
      </c>
      <c r="D33" s="4" t="s">
        <v>41</v>
      </c>
      <c r="E33" s="4" t="s">
        <v>92</v>
      </c>
      <c r="F33" s="7" t="n">
        <v>10.2825213954597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41.6507587382404</v>
      </c>
      <c r="O33" s="7" t="n">
        <v>0</v>
      </c>
      <c r="P33" s="7" t="n">
        <v>36.849914052915</v>
      </c>
      <c r="Q33" s="7" t="n">
        <v>0</v>
      </c>
      <c r="R33" s="7" t="n">
        <v>0</v>
      </c>
      <c r="S33" s="7" t="n">
        <v>0</v>
      </c>
      <c r="T33" s="7" t="n">
        <v>8.23678064325219</v>
      </c>
      <c r="U33" s="7" t="n">
        <v>3.2199278148087</v>
      </c>
      <c r="V33" s="7" t="n">
        <v>11.8126035433887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</row>
    <row r="34" customFormat="false" ht="15" hidden="false" customHeight="false" outlineLevel="0" collapsed="false">
      <c r="A34" s="4" t="s">
        <v>122</v>
      </c>
      <c r="B34" s="4" t="s">
        <v>123</v>
      </c>
      <c r="C34" s="4" t="s">
        <v>104</v>
      </c>
      <c r="D34" s="4" t="s">
        <v>41</v>
      </c>
      <c r="E34" s="4" t="s">
        <v>93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1511.32461905361</v>
      </c>
      <c r="N34" s="7" t="n">
        <v>982.458055573235</v>
      </c>
      <c r="O34" s="7" t="n">
        <v>2460.37974100792</v>
      </c>
      <c r="P34" s="7" t="n">
        <v>962.87185478415</v>
      </c>
      <c r="Q34" s="7" t="n">
        <v>828.396698655879</v>
      </c>
      <c r="R34" s="7" t="n">
        <v>469.873462208778</v>
      </c>
      <c r="S34" s="7" t="n">
        <v>712.884974048449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</row>
    <row r="35" customFormat="false" ht="15" hidden="false" customHeight="false" outlineLevel="0" collapsed="false">
      <c r="A35" s="4" t="s">
        <v>124</v>
      </c>
      <c r="B35" s="4" t="s">
        <v>125</v>
      </c>
      <c r="C35" s="4" t="s">
        <v>101</v>
      </c>
      <c r="D35" s="4" t="s">
        <v>57</v>
      </c>
      <c r="E35" s="4" t="s">
        <v>91</v>
      </c>
      <c r="F35" s="7" t="n">
        <v>1948.00166885052</v>
      </c>
      <c r="G35" s="7" t="n">
        <v>1245.52437916375</v>
      </c>
      <c r="H35" s="7" t="n">
        <v>624.911357484729</v>
      </c>
      <c r="I35" s="7" t="n">
        <v>142.993344296396</v>
      </c>
      <c r="J35" s="7" t="n">
        <v>1325.59130976143</v>
      </c>
      <c r="K35" s="7" t="n">
        <v>1051.60340204888</v>
      </c>
      <c r="L35" s="7" t="n">
        <v>3210.83714168449</v>
      </c>
      <c r="M35" s="7" t="n">
        <v>266.307004328861</v>
      </c>
      <c r="N35" s="7" t="n">
        <v>4117.41937064083</v>
      </c>
      <c r="O35" s="7" t="n">
        <v>256.780672697633</v>
      </c>
      <c r="P35" s="7" t="n">
        <v>422.629454289646</v>
      </c>
      <c r="Q35" s="7" t="n">
        <v>2502.46278361861</v>
      </c>
      <c r="R35" s="7" t="n">
        <v>791.514291963848</v>
      </c>
      <c r="S35" s="7" t="n">
        <v>1154.64794540522</v>
      </c>
      <c r="T35" s="7" t="n">
        <v>591.69815286186</v>
      </c>
      <c r="U35" s="7" t="n">
        <v>1067.88007268424</v>
      </c>
      <c r="V35" s="7" t="n">
        <v>1043.04498608389</v>
      </c>
      <c r="W35" s="7" t="n">
        <v>726.406328371087</v>
      </c>
      <c r="X35" s="7" t="n">
        <v>314.269644265425</v>
      </c>
      <c r="Y35" s="7" t="n">
        <v>794.198366676464</v>
      </c>
      <c r="Z35" s="7" t="n">
        <v>684.876513789872</v>
      </c>
      <c r="AA35" s="7" t="n">
        <v>0</v>
      </c>
      <c r="AB35" s="7" t="n">
        <v>1632.39352983315</v>
      </c>
    </row>
    <row r="36" customFormat="false" ht="15" hidden="false" customHeight="false" outlineLevel="0" collapsed="false">
      <c r="A36" s="4" t="s">
        <v>124</v>
      </c>
      <c r="B36" s="4" t="s">
        <v>125</v>
      </c>
      <c r="C36" s="4" t="s">
        <v>101</v>
      </c>
      <c r="D36" s="4" t="s">
        <v>57</v>
      </c>
      <c r="E36" s="4" t="s">
        <v>92</v>
      </c>
      <c r="F36" s="7" t="n">
        <v>124.961053151017</v>
      </c>
      <c r="G36" s="7" t="n">
        <v>81.0893793833668</v>
      </c>
      <c r="H36" s="7" t="n">
        <v>1317.9316767304</v>
      </c>
      <c r="I36" s="7" t="n">
        <v>228.591956683496</v>
      </c>
      <c r="J36" s="7" t="n">
        <v>135.774560512988</v>
      </c>
      <c r="K36" s="7" t="n">
        <v>16.9281241245997</v>
      </c>
      <c r="L36" s="7" t="n">
        <v>361.317018140607</v>
      </c>
      <c r="M36" s="7" t="n">
        <v>19.1980217583746</v>
      </c>
      <c r="N36" s="7" t="n">
        <v>993.415229843868</v>
      </c>
      <c r="O36" s="7" t="n">
        <v>3.71258080013988</v>
      </c>
      <c r="P36" s="7" t="n">
        <v>4.45111749600227</v>
      </c>
      <c r="Q36" s="7" t="n">
        <v>20.0636375652718</v>
      </c>
      <c r="R36" s="7" t="n">
        <v>306.191442602539</v>
      </c>
      <c r="S36" s="7" t="n">
        <v>19.380178173547</v>
      </c>
      <c r="T36" s="7" t="n">
        <v>2.84038760136032</v>
      </c>
      <c r="U36" s="7" t="n">
        <v>4.34563791884767</v>
      </c>
      <c r="V36" s="7" t="n">
        <v>35.5795637553184</v>
      </c>
      <c r="W36" s="7" t="n">
        <v>67.4235032226602</v>
      </c>
      <c r="X36" s="7" t="n">
        <v>27.641504007877</v>
      </c>
      <c r="Y36" s="7" t="n">
        <v>47.6173736900005</v>
      </c>
      <c r="Z36" s="7" t="n">
        <v>77.6755940250398</v>
      </c>
      <c r="AA36" s="7" t="n">
        <v>1223.78812040217</v>
      </c>
      <c r="AB36" s="7" t="n">
        <v>225.281450169018</v>
      </c>
    </row>
    <row r="37" customFormat="false" ht="15" hidden="false" customHeight="false" outlineLevel="0" collapsed="false">
      <c r="A37" s="4" t="s">
        <v>124</v>
      </c>
      <c r="B37" s="4" t="s">
        <v>125</v>
      </c>
      <c r="C37" s="4" t="s">
        <v>101</v>
      </c>
      <c r="D37" s="4" t="s">
        <v>57</v>
      </c>
      <c r="E37" s="4" t="s">
        <v>93</v>
      </c>
      <c r="F37" s="7" t="n">
        <v>1.65481269374692</v>
      </c>
      <c r="G37" s="7" t="n">
        <v>0.403791236388093</v>
      </c>
      <c r="H37" s="7" t="n">
        <v>3.13309377116861</v>
      </c>
      <c r="I37" s="7" t="n">
        <v>0.729687947324791</v>
      </c>
      <c r="J37" s="7" t="n">
        <v>1.21956677008908</v>
      </c>
      <c r="K37" s="7" t="n">
        <v>0.656078551646136</v>
      </c>
      <c r="L37" s="7" t="n">
        <v>1.38764319935699</v>
      </c>
      <c r="M37" s="7" t="n">
        <v>0.0853340709296412</v>
      </c>
      <c r="N37" s="7" t="n">
        <v>0.965059498572665</v>
      </c>
      <c r="O37" s="7" t="n">
        <v>0.175314163981984</v>
      </c>
      <c r="P37" s="7" t="n">
        <v>0.168484852990489</v>
      </c>
      <c r="Q37" s="7" t="n">
        <v>4.18662576806744</v>
      </c>
      <c r="R37" s="7" t="n">
        <v>0</v>
      </c>
      <c r="S37" s="7" t="n">
        <v>0</v>
      </c>
      <c r="T37" s="7" t="n">
        <v>0</v>
      </c>
      <c r="U37" s="7" t="n">
        <v>3.39410305777978</v>
      </c>
      <c r="V37" s="7" t="n">
        <v>0.494339173246558</v>
      </c>
      <c r="W37" s="7" t="n">
        <v>0.060706071167756</v>
      </c>
      <c r="X37" s="7" t="n">
        <v>0.0155971161979789</v>
      </c>
      <c r="Y37" s="7" t="n">
        <v>0.367927122142347</v>
      </c>
      <c r="Z37" s="7" t="n">
        <v>0.422204456721072</v>
      </c>
      <c r="AA37" s="7" t="n">
        <v>0.520994342030946</v>
      </c>
      <c r="AB37" s="7" t="n">
        <v>0.322943151680251</v>
      </c>
    </row>
    <row r="38" customFormat="false" ht="15" hidden="false" customHeight="false" outlineLevel="0" collapsed="false">
      <c r="A38" s="4" t="s">
        <v>126</v>
      </c>
      <c r="B38" s="4" t="s">
        <v>127</v>
      </c>
      <c r="C38" s="4" t="s">
        <v>101</v>
      </c>
      <c r="D38" s="4" t="s">
        <v>57</v>
      </c>
      <c r="E38" s="4" t="s">
        <v>91</v>
      </c>
      <c r="F38" s="7" t="n">
        <v>62.9777738629496</v>
      </c>
      <c r="G38" s="7" t="n">
        <v>7.28733289815459</v>
      </c>
      <c r="H38" s="7" t="n">
        <v>0.777229310664539</v>
      </c>
      <c r="I38" s="7" t="n">
        <v>9.7039739998389</v>
      </c>
      <c r="J38" s="7" t="n">
        <v>26.6024686242749</v>
      </c>
      <c r="K38" s="7" t="n">
        <v>5.5622846835262</v>
      </c>
      <c r="L38" s="7" t="n">
        <v>8.66676130078782</v>
      </c>
      <c r="M38" s="7" t="n">
        <v>14.040108925757</v>
      </c>
      <c r="N38" s="7" t="n">
        <v>16.6581018954978</v>
      </c>
      <c r="O38" s="7" t="n">
        <v>41.3604222174897</v>
      </c>
      <c r="P38" s="7" t="n">
        <v>39.0112267639405</v>
      </c>
      <c r="Q38" s="7" t="n">
        <v>3.52272179650915</v>
      </c>
      <c r="R38" s="7" t="n">
        <v>4.23673213629096</v>
      </c>
      <c r="S38" s="7" t="n">
        <v>5.22787178955078</v>
      </c>
      <c r="T38" s="7" t="n">
        <v>2.04666331176758</v>
      </c>
      <c r="U38" s="7" t="n">
        <v>2.12208923950195</v>
      </c>
      <c r="V38" s="7" t="n">
        <v>0.681766613769531</v>
      </c>
      <c r="W38" s="7" t="n">
        <v>0.075774853515625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</row>
    <row r="39" customFormat="false" ht="15" hidden="false" customHeight="false" outlineLevel="0" collapsed="false">
      <c r="A39" s="4" t="s">
        <v>126</v>
      </c>
      <c r="B39" s="4" t="s">
        <v>127</v>
      </c>
      <c r="C39" s="4" t="s">
        <v>101</v>
      </c>
      <c r="D39" s="4" t="s">
        <v>57</v>
      </c>
      <c r="E39" s="4" t="s">
        <v>92</v>
      </c>
      <c r="F39" s="7" t="n">
        <v>12.5405372182602</v>
      </c>
      <c r="G39" s="7" t="n">
        <v>1.28772866113696</v>
      </c>
      <c r="H39" s="7" t="n">
        <v>0.0870564289055192</v>
      </c>
      <c r="I39" s="7" t="n">
        <v>0.71127999501338</v>
      </c>
      <c r="J39" s="7" t="n">
        <v>1.55068493305134</v>
      </c>
      <c r="K39" s="7" t="n">
        <v>0.402759924921543</v>
      </c>
      <c r="L39" s="7" t="n">
        <v>0.393991543958857</v>
      </c>
      <c r="M39" s="7" t="n">
        <v>0.45726177114334</v>
      </c>
      <c r="N39" s="7" t="n">
        <v>0.182806469498536</v>
      </c>
      <c r="O39" s="7" t="n">
        <v>0.0871503946224559</v>
      </c>
      <c r="P39" s="7" t="n">
        <v>0.634126065267138</v>
      </c>
      <c r="Q39" s="7" t="n">
        <v>0.0280225614417221</v>
      </c>
      <c r="R39" s="7" t="n">
        <v>0.00403917108208345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</row>
    <row r="40" customFormat="false" ht="15" hidden="false" customHeight="false" outlineLevel="0" collapsed="false">
      <c r="A40" s="4" t="s">
        <v>126</v>
      </c>
      <c r="B40" s="4" t="s">
        <v>127</v>
      </c>
      <c r="C40" s="4" t="s">
        <v>101</v>
      </c>
      <c r="D40" s="4" t="s">
        <v>57</v>
      </c>
      <c r="E40" s="4" t="s">
        <v>93</v>
      </c>
      <c r="F40" s="7" t="n">
        <v>0.0221020413488371</v>
      </c>
      <c r="G40" s="7" t="n">
        <v>0.00345595030652985</v>
      </c>
      <c r="H40" s="7" t="n">
        <v>0.000301542139500425</v>
      </c>
      <c r="I40" s="7" t="n">
        <v>0.0025816823028544</v>
      </c>
      <c r="J40" s="7" t="n">
        <v>0.00408938700967265</v>
      </c>
      <c r="K40" s="7" t="n">
        <v>0.000509999706553422</v>
      </c>
      <c r="L40" s="7" t="n">
        <v>0.00143115793887276</v>
      </c>
      <c r="M40" s="7" t="n">
        <v>0.00229635009916595</v>
      </c>
      <c r="N40" s="7" t="n">
        <v>0.00143315722046621</v>
      </c>
      <c r="O40" s="7" t="n">
        <v>0.00020725550135485</v>
      </c>
      <c r="P40" s="7" t="n">
        <v>0.00325768506746077</v>
      </c>
      <c r="Q40" s="7" t="n">
        <v>0.000557479207328131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</row>
    <row r="41" customFormat="false" ht="15" hidden="false" customHeight="false" outlineLevel="0" collapsed="false">
      <c r="A41" s="4" t="s">
        <v>128</v>
      </c>
      <c r="B41" s="4" t="s">
        <v>129</v>
      </c>
      <c r="C41" s="4" t="s">
        <v>99</v>
      </c>
      <c r="D41" s="4" t="s">
        <v>81</v>
      </c>
      <c r="E41" s="4" t="s">
        <v>91</v>
      </c>
      <c r="F41" s="7" t="n">
        <v>107.360730607384</v>
      </c>
      <c r="G41" s="7" t="n">
        <v>312.453219204628</v>
      </c>
      <c r="H41" s="7" t="n">
        <v>73.3929134929343</v>
      </c>
      <c r="I41" s="7" t="n">
        <v>134.772693560049</v>
      </c>
      <c r="J41" s="7" t="n">
        <v>57.9510596905877</v>
      </c>
      <c r="K41" s="7" t="n">
        <v>196.479163163943</v>
      </c>
      <c r="L41" s="7" t="n">
        <v>127.670102601271</v>
      </c>
      <c r="M41" s="7" t="n">
        <v>121.704427443393</v>
      </c>
      <c r="N41" s="7" t="n">
        <v>100.750436699003</v>
      </c>
      <c r="O41" s="7" t="n">
        <v>185.198601365369</v>
      </c>
      <c r="P41" s="7" t="n">
        <v>283.024564746939</v>
      </c>
      <c r="Q41" s="7" t="n">
        <v>227.225230180144</v>
      </c>
      <c r="R41" s="7" t="n">
        <v>152.604838398326</v>
      </c>
      <c r="S41" s="7" t="n">
        <v>426.854656857084</v>
      </c>
      <c r="T41" s="7" t="n">
        <v>537.679273189244</v>
      </c>
      <c r="U41" s="7" t="n">
        <v>1379.01504530084</v>
      </c>
      <c r="V41" s="7" t="n">
        <v>1198.10868942045</v>
      </c>
      <c r="W41" s="7" t="n">
        <v>841.749430021701</v>
      </c>
      <c r="X41" s="7" t="n">
        <v>950.012370323558</v>
      </c>
      <c r="Y41" s="7" t="n">
        <v>892.626126463774</v>
      </c>
      <c r="Z41" s="7" t="n">
        <v>844.233285455024</v>
      </c>
      <c r="AA41" s="7" t="n">
        <v>624.059151901325</v>
      </c>
      <c r="AB41" s="7" t="n">
        <v>890.963441005429</v>
      </c>
    </row>
    <row r="42" customFormat="false" ht="15" hidden="false" customHeight="false" outlineLevel="0" collapsed="false">
      <c r="A42" s="4" t="s">
        <v>128</v>
      </c>
      <c r="B42" s="4" t="s">
        <v>129</v>
      </c>
      <c r="C42" s="4" t="s">
        <v>99</v>
      </c>
      <c r="D42" s="4" t="s">
        <v>81</v>
      </c>
      <c r="E42" s="4" t="s">
        <v>92</v>
      </c>
      <c r="F42" s="7" t="n">
        <v>198.166442431784</v>
      </c>
      <c r="G42" s="7" t="n">
        <v>184.579689396159</v>
      </c>
      <c r="H42" s="7" t="n">
        <v>97.9774783935547</v>
      </c>
      <c r="I42" s="7" t="n">
        <v>168.011348015759</v>
      </c>
      <c r="J42" s="7" t="n">
        <v>133.611746533203</v>
      </c>
      <c r="K42" s="7" t="n">
        <v>300.23244805542</v>
      </c>
      <c r="L42" s="7" t="n">
        <v>240.048549475911</v>
      </c>
      <c r="M42" s="7" t="n">
        <v>148.322332238915</v>
      </c>
      <c r="N42" s="7" t="n">
        <v>195.745452202236</v>
      </c>
      <c r="O42" s="7" t="n">
        <v>114.925006841691</v>
      </c>
      <c r="P42" s="7" t="n">
        <v>19.4930073910535</v>
      </c>
      <c r="Q42" s="7" t="n">
        <v>7.39931937496508</v>
      </c>
      <c r="R42" s="7" t="n">
        <v>3.2425622115821</v>
      </c>
      <c r="S42" s="7" t="n">
        <v>12.2704079913062</v>
      </c>
      <c r="T42" s="7" t="n">
        <v>22.6407120471658</v>
      </c>
      <c r="U42" s="7" t="n">
        <v>18.8075143656199</v>
      </c>
      <c r="V42" s="7" t="n">
        <v>19.5176271636685</v>
      </c>
      <c r="W42" s="7" t="n">
        <v>17.0578633479901</v>
      </c>
      <c r="X42" s="7" t="n">
        <v>71.5238456068098</v>
      </c>
      <c r="Y42" s="7" t="n">
        <v>66.3900481469175</v>
      </c>
      <c r="Z42" s="7" t="n">
        <v>44.0357903183759</v>
      </c>
      <c r="AA42" s="7" t="n">
        <v>36.036005812825</v>
      </c>
      <c r="AB42" s="7" t="n">
        <v>53.1634693388086</v>
      </c>
    </row>
    <row r="43" customFormat="false" ht="15" hidden="false" customHeight="false" outlineLevel="0" collapsed="false">
      <c r="A43" s="4" t="s">
        <v>128</v>
      </c>
      <c r="B43" s="4" t="s">
        <v>129</v>
      </c>
      <c r="C43" s="4" t="s">
        <v>99</v>
      </c>
      <c r="D43" s="4" t="s">
        <v>81</v>
      </c>
      <c r="E43" s="4" t="s">
        <v>93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91.5828252930866</v>
      </c>
      <c r="N43" s="7" t="n">
        <v>70.319304681022</v>
      </c>
      <c r="O43" s="7" t="n">
        <v>87.7243122615231</v>
      </c>
      <c r="P43" s="7" t="n">
        <v>65.5741428123184</v>
      </c>
      <c r="Q43" s="7" t="n">
        <v>63.6540871929859</v>
      </c>
      <c r="R43" s="7" t="n">
        <v>11.7889282252057</v>
      </c>
      <c r="S43" s="7" t="n">
        <v>9.23920242142347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</row>
    <row r="44" customFormat="false" ht="15" hidden="false" customHeight="false" outlineLevel="0" collapsed="false">
      <c r="A44" s="4" t="s">
        <v>130</v>
      </c>
      <c r="B44" s="4" t="s">
        <v>131</v>
      </c>
      <c r="C44" s="4" t="s">
        <v>104</v>
      </c>
      <c r="D44" s="4" t="s">
        <v>41</v>
      </c>
      <c r="E44" s="4" t="s">
        <v>91</v>
      </c>
      <c r="F44" s="7" t="n">
        <v>564.862236790748</v>
      </c>
      <c r="G44" s="7" t="n">
        <v>110.956927175365</v>
      </c>
      <c r="H44" s="7" t="n">
        <v>58.1958398681641</v>
      </c>
      <c r="I44" s="7" t="n">
        <v>27.2280527893066</v>
      </c>
      <c r="J44" s="7" t="n">
        <v>9.65538600676892</v>
      </c>
      <c r="K44" s="7" t="n">
        <v>198.712671173048</v>
      </c>
      <c r="L44" s="7" t="n">
        <v>245.647497747611</v>
      </c>
      <c r="M44" s="7" t="n">
        <v>227.69870503205</v>
      </c>
      <c r="N44" s="7" t="n">
        <v>190.930848552988</v>
      </c>
      <c r="O44" s="7" t="n">
        <v>126.153519726658</v>
      </c>
      <c r="P44" s="7" t="n">
        <v>157.420619187395</v>
      </c>
      <c r="Q44" s="7" t="n">
        <v>265.524781839743</v>
      </c>
      <c r="R44" s="7" t="n">
        <v>154.320853074926</v>
      </c>
      <c r="S44" s="7" t="n">
        <v>231.057768514878</v>
      </c>
      <c r="T44" s="7" t="n">
        <v>96.7871602158515</v>
      </c>
      <c r="U44" s="7" t="n">
        <v>253.482297848485</v>
      </c>
      <c r="V44" s="7" t="n">
        <v>601.784262145616</v>
      </c>
      <c r="W44" s="7" t="n">
        <v>397.044031449789</v>
      </c>
      <c r="X44" s="7" t="n">
        <v>46.1781978531422</v>
      </c>
      <c r="Y44" s="7" t="n">
        <v>0</v>
      </c>
      <c r="Z44" s="7" t="n">
        <v>0</v>
      </c>
      <c r="AA44" s="7" t="n">
        <v>126.18018663725</v>
      </c>
      <c r="AB44" s="7" t="n">
        <v>222.977670808201</v>
      </c>
    </row>
    <row r="45" customFormat="false" ht="15" hidden="false" customHeight="false" outlineLevel="0" collapsed="false">
      <c r="A45" s="4" t="s">
        <v>130</v>
      </c>
      <c r="B45" s="4" t="s">
        <v>131</v>
      </c>
      <c r="C45" s="4" t="s">
        <v>104</v>
      </c>
      <c r="D45" s="4" t="s">
        <v>41</v>
      </c>
      <c r="E45" s="4" t="s">
        <v>92</v>
      </c>
      <c r="F45" s="7" t="n">
        <v>187.071706006051</v>
      </c>
      <c r="G45" s="7" t="n">
        <v>122.878829492068</v>
      </c>
      <c r="H45" s="7" t="n">
        <v>159.71224697043</v>
      </c>
      <c r="I45" s="7" t="n">
        <v>222.816072716064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18.2453617040069</v>
      </c>
      <c r="S45" s="7" t="n">
        <v>108.439525457936</v>
      </c>
      <c r="T45" s="7" t="n">
        <v>209.474073254201</v>
      </c>
      <c r="U45" s="7" t="n">
        <v>151.543556581878</v>
      </c>
      <c r="V45" s="7" t="n">
        <v>125.780033304273</v>
      </c>
      <c r="W45" s="7" t="n">
        <v>9.29087493417728</v>
      </c>
      <c r="X45" s="7" t="n">
        <v>135.546329197448</v>
      </c>
      <c r="Y45" s="7" t="n">
        <v>0</v>
      </c>
      <c r="Z45" s="7" t="n">
        <v>0</v>
      </c>
      <c r="AA45" s="7" t="n">
        <v>0</v>
      </c>
      <c r="AB45" s="7" t="n">
        <v>0</v>
      </c>
    </row>
    <row r="46" customFormat="false" ht="15" hidden="false" customHeight="false" outlineLevel="0" collapsed="false">
      <c r="A46" s="4" t="s">
        <v>130</v>
      </c>
      <c r="B46" s="4" t="s">
        <v>131</v>
      </c>
      <c r="C46" s="4" t="s">
        <v>104</v>
      </c>
      <c r="D46" s="4" t="s">
        <v>41</v>
      </c>
      <c r="E46" s="4" t="s">
        <v>93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</row>
    <row r="47" customFormat="false" ht="15" hidden="false" customHeight="false" outlineLevel="0" collapsed="false">
      <c r="A47" s="4" t="s">
        <v>132</v>
      </c>
      <c r="B47" s="4" t="s">
        <v>133</v>
      </c>
      <c r="C47" s="4" t="s">
        <v>112</v>
      </c>
      <c r="D47" s="4" t="s">
        <v>79</v>
      </c>
      <c r="E47" s="4" t="s">
        <v>91</v>
      </c>
      <c r="F47" s="7" t="n">
        <v>9.18469369762207</v>
      </c>
      <c r="G47" s="7" t="n">
        <v>9.05230747140721</v>
      </c>
      <c r="H47" s="7" t="n">
        <v>6.61162199630304</v>
      </c>
      <c r="I47" s="7" t="n">
        <v>1.86046124813725</v>
      </c>
      <c r="J47" s="7" t="n">
        <v>9.30239549751208</v>
      </c>
      <c r="K47" s="7" t="n">
        <v>14.2629140531673</v>
      </c>
      <c r="L47" s="7" t="n">
        <v>31.7865140152276</v>
      </c>
      <c r="M47" s="7" t="n">
        <v>29.4440808632074</v>
      </c>
      <c r="N47" s="7" t="n">
        <v>19.9718044063793</v>
      </c>
      <c r="O47" s="7" t="n">
        <v>19.6014358459473</v>
      </c>
      <c r="P47" s="7" t="n">
        <v>3.56537408063535</v>
      </c>
      <c r="Q47" s="7" t="n">
        <v>3.72859536541849</v>
      </c>
      <c r="R47" s="7" t="n">
        <v>5.17880082571914</v>
      </c>
      <c r="S47" s="7" t="n">
        <v>3.83220328369141</v>
      </c>
      <c r="T47" s="7" t="n">
        <v>6.31621285587814</v>
      </c>
      <c r="U47" s="7" t="n">
        <v>48.3669890136717</v>
      </c>
      <c r="V47" s="7" t="n">
        <v>29.380363058464</v>
      </c>
      <c r="W47" s="7" t="n">
        <v>5.00338589196095</v>
      </c>
      <c r="X47" s="7" t="n">
        <v>6.72242434548543</v>
      </c>
      <c r="Y47" s="7" t="n">
        <v>12.9029753285669</v>
      </c>
      <c r="Z47" s="7" t="n">
        <v>0.46919422086071</v>
      </c>
      <c r="AA47" s="7" t="n">
        <v>1.87289739792847</v>
      </c>
      <c r="AB47" s="7" t="n">
        <v>0.451638920909175</v>
      </c>
    </row>
    <row r="48" customFormat="false" ht="15" hidden="false" customHeight="false" outlineLevel="0" collapsed="false">
      <c r="A48" s="4" t="s">
        <v>132</v>
      </c>
      <c r="B48" s="4" t="s">
        <v>133</v>
      </c>
      <c r="C48" s="4" t="s">
        <v>112</v>
      </c>
      <c r="D48" s="4" t="s">
        <v>79</v>
      </c>
      <c r="E48" s="4" t="s">
        <v>92</v>
      </c>
      <c r="F48" s="7" t="n">
        <v>33.9726585545752</v>
      </c>
      <c r="G48" s="7" t="n">
        <v>11.9966587705266</v>
      </c>
      <c r="H48" s="7" t="n">
        <v>9.15781267166571</v>
      </c>
      <c r="I48" s="7" t="n">
        <v>15.898906996731</v>
      </c>
      <c r="J48" s="7" t="n">
        <v>42.8919044414528</v>
      </c>
      <c r="K48" s="7" t="n">
        <v>159.987436471735</v>
      </c>
      <c r="L48" s="7" t="n">
        <v>14.8314566329658</v>
      </c>
      <c r="M48" s="7" t="n">
        <v>0.225247536450857</v>
      </c>
      <c r="N48" s="7" t="n">
        <v>0</v>
      </c>
      <c r="O48" s="7" t="n">
        <v>0</v>
      </c>
      <c r="P48" s="7" t="n">
        <v>3.77378307878848</v>
      </c>
      <c r="Q48" s="7" t="n">
        <v>13.366164256355</v>
      </c>
      <c r="R48" s="7" t="n">
        <v>29.2837002729137</v>
      </c>
      <c r="S48" s="7" t="n">
        <v>21.8055713672783</v>
      </c>
      <c r="T48" s="7" t="n">
        <v>5.4717709514949</v>
      </c>
      <c r="U48" s="7" t="n">
        <v>43.4939949596133</v>
      </c>
      <c r="V48" s="7" t="n">
        <v>115.152978709312</v>
      </c>
      <c r="W48" s="7" t="n">
        <v>7.5777679166328</v>
      </c>
      <c r="X48" s="7" t="n">
        <v>74.2526842360576</v>
      </c>
      <c r="Y48" s="7" t="n">
        <v>138.424749750084</v>
      </c>
      <c r="Z48" s="7" t="n">
        <v>4.77420369173695</v>
      </c>
      <c r="AA48" s="7" t="n">
        <v>3.46817300612427</v>
      </c>
      <c r="AB48" s="7" t="n">
        <v>3.25523772093653</v>
      </c>
    </row>
    <row r="49" customFormat="false" ht="15" hidden="false" customHeight="false" outlineLevel="0" collapsed="false">
      <c r="A49" s="4" t="s">
        <v>132</v>
      </c>
      <c r="B49" s="4" t="s">
        <v>133</v>
      </c>
      <c r="C49" s="4" t="s">
        <v>112</v>
      </c>
      <c r="D49" s="4" t="s">
        <v>79</v>
      </c>
      <c r="E49" s="4" t="s">
        <v>93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</row>
    <row r="50" customFormat="false" ht="15" hidden="false" customHeight="false" outlineLevel="0" collapsed="false">
      <c r="A50" s="4" t="s">
        <v>134</v>
      </c>
      <c r="B50" s="4" t="s">
        <v>135</v>
      </c>
      <c r="C50" s="4" t="s">
        <v>104</v>
      </c>
      <c r="D50" s="4" t="s">
        <v>43</v>
      </c>
      <c r="E50" s="4" t="s">
        <v>91</v>
      </c>
      <c r="F50" s="7" t="n">
        <v>52.3008013984695</v>
      </c>
      <c r="G50" s="7" t="n">
        <v>78.3765292230442</v>
      </c>
      <c r="H50" s="7" t="n">
        <v>43.4821008850098</v>
      </c>
      <c r="I50" s="7" t="n">
        <v>253.092464165547</v>
      </c>
      <c r="J50" s="7" t="n">
        <v>3.66168334960937</v>
      </c>
      <c r="K50" s="7" t="n">
        <v>4.52077428588867</v>
      </c>
      <c r="L50" s="7" t="n">
        <v>78.2651467259096</v>
      </c>
      <c r="M50" s="7" t="n">
        <v>131.605581275787</v>
      </c>
      <c r="N50" s="7" t="n">
        <v>138.318921049892</v>
      </c>
      <c r="O50" s="7" t="n">
        <v>104.231460031986</v>
      </c>
      <c r="P50" s="7" t="n">
        <v>105.330884498208</v>
      </c>
      <c r="Q50" s="7" t="n">
        <v>260.452152110579</v>
      </c>
      <c r="R50" s="7" t="n">
        <v>92.4320370296062</v>
      </c>
      <c r="S50" s="7" t="n">
        <v>162.642476316906</v>
      </c>
      <c r="T50" s="7" t="n">
        <v>39.3180449203633</v>
      </c>
      <c r="U50" s="7" t="n">
        <v>55.4714138555549</v>
      </c>
      <c r="V50" s="7" t="n">
        <v>93.9008582589423</v>
      </c>
      <c r="W50" s="7" t="n">
        <v>85.4225981994629</v>
      </c>
      <c r="X50" s="7" t="n">
        <v>19.8574588073731</v>
      </c>
      <c r="Y50" s="7" t="n">
        <v>0</v>
      </c>
      <c r="Z50" s="7" t="n">
        <v>0</v>
      </c>
      <c r="AA50" s="7" t="n">
        <v>0</v>
      </c>
      <c r="AB50" s="7" t="n">
        <v>0</v>
      </c>
    </row>
    <row r="51" customFormat="false" ht="15" hidden="false" customHeight="false" outlineLevel="0" collapsed="false">
      <c r="A51" s="4" t="s">
        <v>134</v>
      </c>
      <c r="B51" s="4" t="s">
        <v>135</v>
      </c>
      <c r="C51" s="4" t="s">
        <v>104</v>
      </c>
      <c r="D51" s="4" t="s">
        <v>43</v>
      </c>
      <c r="E51" s="4" t="s">
        <v>92</v>
      </c>
      <c r="F51" s="7" t="n">
        <v>53.017192353565</v>
      </c>
      <c r="G51" s="7" t="n">
        <v>25.4049758535968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88.979405337701</v>
      </c>
      <c r="M51" s="7" t="n">
        <v>84.0141781603436</v>
      </c>
      <c r="N51" s="7" t="n">
        <v>143.512602121304</v>
      </c>
      <c r="O51" s="7" t="n">
        <v>94.2857309326092</v>
      </c>
      <c r="P51" s="7" t="n">
        <v>24.5728012876852</v>
      </c>
      <c r="Q51" s="7" t="n">
        <v>39.2014481439973</v>
      </c>
      <c r="R51" s="7" t="n">
        <v>114.030879849152</v>
      </c>
      <c r="S51" s="7" t="n">
        <v>42.3846739829321</v>
      </c>
      <c r="T51" s="7" t="n">
        <v>59.2049458253906</v>
      </c>
      <c r="U51" s="7" t="n">
        <v>235.26704153677</v>
      </c>
      <c r="V51" s="7" t="n">
        <v>139.090953277732</v>
      </c>
      <c r="W51" s="7" t="n">
        <v>173.884818678553</v>
      </c>
      <c r="X51" s="7" t="n">
        <v>0</v>
      </c>
      <c r="Y51" s="7" t="n">
        <v>0</v>
      </c>
      <c r="Z51" s="7" t="n">
        <v>0</v>
      </c>
      <c r="AA51" s="7" t="n">
        <v>118.248554493073</v>
      </c>
      <c r="AB51" s="7" t="n">
        <v>169.609150384522</v>
      </c>
    </row>
    <row r="52" customFormat="false" ht="15" hidden="false" customHeight="false" outlineLevel="0" collapsed="false">
      <c r="A52" s="4" t="s">
        <v>134</v>
      </c>
      <c r="B52" s="4" t="s">
        <v>135</v>
      </c>
      <c r="C52" s="4" t="s">
        <v>104</v>
      </c>
      <c r="D52" s="4" t="s">
        <v>43</v>
      </c>
      <c r="E52" s="4" t="s">
        <v>93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</row>
    <row r="53" customFormat="false" ht="15" hidden="false" customHeight="false" outlineLevel="0" collapsed="false">
      <c r="A53" s="4" t="s">
        <v>136</v>
      </c>
      <c r="B53" s="4" t="s">
        <v>137</v>
      </c>
      <c r="C53" s="4" t="s">
        <v>104</v>
      </c>
      <c r="D53" s="4" t="s">
        <v>43</v>
      </c>
      <c r="E53" s="4" t="s">
        <v>91</v>
      </c>
      <c r="F53" s="7" t="n">
        <v>234.249491974559</v>
      </c>
      <c r="G53" s="7" t="n">
        <v>246.503950007456</v>
      </c>
      <c r="H53" s="7" t="n">
        <v>185.569133284744</v>
      </c>
      <c r="I53" s="7" t="n">
        <v>348.462061031203</v>
      </c>
      <c r="J53" s="7" t="n">
        <v>434.740081465314</v>
      </c>
      <c r="K53" s="7" t="n">
        <v>609.148417253287</v>
      </c>
      <c r="L53" s="7" t="n">
        <v>426.949302941968</v>
      </c>
      <c r="M53" s="7" t="n">
        <v>411.688276335847</v>
      </c>
      <c r="N53" s="7" t="n">
        <v>451.755064733195</v>
      </c>
      <c r="O53" s="7" t="n">
        <v>695.450901677284</v>
      </c>
      <c r="P53" s="7" t="n">
        <v>795.98717211053</v>
      </c>
      <c r="Q53" s="7" t="n">
        <v>733.451047053307</v>
      </c>
      <c r="R53" s="7" t="n">
        <v>317.169472302609</v>
      </c>
      <c r="S53" s="7" t="n">
        <v>449.245295888032</v>
      </c>
      <c r="T53" s="7" t="n">
        <v>498.551534209473</v>
      </c>
      <c r="U53" s="7" t="n">
        <v>1908.98793256366</v>
      </c>
      <c r="V53" s="7" t="n">
        <v>2446.44384010539</v>
      </c>
      <c r="W53" s="7" t="n">
        <v>1673.7290440606</v>
      </c>
      <c r="X53" s="7" t="n">
        <v>318.287704586672</v>
      </c>
      <c r="Y53" s="7" t="n">
        <v>0</v>
      </c>
      <c r="Z53" s="7" t="n">
        <v>0</v>
      </c>
      <c r="AA53" s="7" t="n">
        <v>0</v>
      </c>
      <c r="AB53" s="7" t="n">
        <v>0</v>
      </c>
    </row>
    <row r="54" customFormat="false" ht="15" hidden="false" customHeight="false" outlineLevel="0" collapsed="false">
      <c r="A54" s="4" t="s">
        <v>136</v>
      </c>
      <c r="B54" s="4" t="s">
        <v>137</v>
      </c>
      <c r="C54" s="4" t="s">
        <v>104</v>
      </c>
      <c r="D54" s="4" t="s">
        <v>43</v>
      </c>
      <c r="E54" s="4" t="s">
        <v>92</v>
      </c>
      <c r="F54" s="7" t="n">
        <v>270.54434195196</v>
      </c>
      <c r="G54" s="7" t="n">
        <v>254.076730029329</v>
      </c>
      <c r="H54" s="7" t="n">
        <v>39.8992815438792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</row>
    <row r="55" customFormat="false" ht="15" hidden="false" customHeight="false" outlineLevel="0" collapsed="false">
      <c r="A55" s="4" t="s">
        <v>136</v>
      </c>
      <c r="B55" s="4" t="s">
        <v>137</v>
      </c>
      <c r="C55" s="4" t="s">
        <v>104</v>
      </c>
      <c r="D55" s="4" t="s">
        <v>43</v>
      </c>
      <c r="E55" s="4" t="s">
        <v>93</v>
      </c>
      <c r="F55" s="7" t="n">
        <v>90</v>
      </c>
      <c r="G55" s="7" t="n">
        <v>89.9999999999999</v>
      </c>
      <c r="H55" s="7" t="n">
        <v>90</v>
      </c>
      <c r="I55" s="7" t="n">
        <v>90</v>
      </c>
      <c r="J55" s="7" t="n">
        <v>90</v>
      </c>
      <c r="K55" s="7" t="n">
        <v>90</v>
      </c>
      <c r="L55" s="7" t="n">
        <v>90</v>
      </c>
      <c r="M55" s="7" t="n">
        <v>347.333333333333</v>
      </c>
      <c r="N55" s="7" t="n">
        <v>604.666666666667</v>
      </c>
      <c r="O55" s="7" t="n">
        <v>862</v>
      </c>
      <c r="P55" s="7" t="n">
        <v>862</v>
      </c>
      <c r="Q55" s="7" t="n">
        <v>862</v>
      </c>
      <c r="R55" s="7" t="n">
        <v>594.666666666666</v>
      </c>
      <c r="S55" s="7" t="n">
        <v>310.666666666666</v>
      </c>
      <c r="T55" s="7" t="n">
        <v>26.6666666666667</v>
      </c>
      <c r="U55" s="7" t="n">
        <v>10</v>
      </c>
      <c r="V55" s="7" t="n">
        <v>10</v>
      </c>
      <c r="W55" s="7" t="n">
        <v>9.9999999999997</v>
      </c>
      <c r="X55" s="7" t="n">
        <v>9.9999999999997</v>
      </c>
      <c r="Y55" s="7" t="n">
        <v>9.9999999999997</v>
      </c>
      <c r="Z55" s="7" t="n">
        <v>10</v>
      </c>
      <c r="AA55" s="7" t="n">
        <v>10</v>
      </c>
      <c r="AB55" s="7" t="n">
        <v>9.9999999999999</v>
      </c>
    </row>
    <row r="56" customFormat="false" ht="15" hidden="false" customHeight="false" outlineLevel="0" collapsed="false">
      <c r="A56" s="4" t="s">
        <v>138</v>
      </c>
      <c r="B56" s="4" t="s">
        <v>139</v>
      </c>
      <c r="C56" s="4" t="s">
        <v>112</v>
      </c>
      <c r="D56" s="4" t="s">
        <v>79</v>
      </c>
      <c r="E56" s="4" t="s">
        <v>91</v>
      </c>
      <c r="F56" s="7" t="n">
        <v>1818.83954335961</v>
      </c>
      <c r="G56" s="7" t="n">
        <v>369.030015547833</v>
      </c>
      <c r="H56" s="7" t="n">
        <v>237.34754228244</v>
      </c>
      <c r="I56" s="7" t="n">
        <v>227.862768871603</v>
      </c>
      <c r="J56" s="7" t="n">
        <v>262.084775404537</v>
      </c>
      <c r="K56" s="7" t="n">
        <v>1591.3762090869</v>
      </c>
      <c r="L56" s="7" t="n">
        <v>2487.01706159321</v>
      </c>
      <c r="M56" s="7" t="n">
        <v>2453.20344306262</v>
      </c>
      <c r="N56" s="7" t="n">
        <v>2349.37154247413</v>
      </c>
      <c r="O56" s="7" t="n">
        <v>1437.12100546352</v>
      </c>
      <c r="P56" s="7" t="n">
        <v>1890.9415725647</v>
      </c>
      <c r="Q56" s="7" t="n">
        <v>4395.46086674062</v>
      </c>
      <c r="R56" s="7" t="n">
        <v>4347.30617467843</v>
      </c>
      <c r="S56" s="7" t="n">
        <v>5154.71673072925</v>
      </c>
      <c r="T56" s="7" t="n">
        <v>2398.09042759049</v>
      </c>
      <c r="U56" s="7" t="n">
        <v>2289.17430328726</v>
      </c>
      <c r="V56" s="7" t="n">
        <v>2494.2466152987</v>
      </c>
      <c r="W56" s="7" t="n">
        <v>2279.127404848</v>
      </c>
      <c r="X56" s="7" t="n">
        <v>2545.75275998562</v>
      </c>
      <c r="Y56" s="7" t="n">
        <v>987.464361052361</v>
      </c>
      <c r="Z56" s="7" t="n">
        <v>646.376436233692</v>
      </c>
      <c r="AA56" s="7" t="n">
        <v>245.713591022642</v>
      </c>
      <c r="AB56" s="7" t="n">
        <v>712.143945261671</v>
      </c>
    </row>
    <row r="57" customFormat="false" ht="15" hidden="false" customHeight="false" outlineLevel="0" collapsed="false">
      <c r="A57" s="4" t="s">
        <v>138</v>
      </c>
      <c r="B57" s="4" t="s">
        <v>139</v>
      </c>
      <c r="C57" s="4" t="s">
        <v>112</v>
      </c>
      <c r="D57" s="4" t="s">
        <v>79</v>
      </c>
      <c r="E57" s="4" t="s">
        <v>92</v>
      </c>
      <c r="F57" s="7" t="n">
        <v>199.539111344436</v>
      </c>
      <c r="G57" s="7" t="n">
        <v>309.18270937216</v>
      </c>
      <c r="H57" s="7" t="n">
        <v>267.7390429405</v>
      </c>
      <c r="I57" s="7" t="n">
        <v>230.850827268281</v>
      </c>
      <c r="J57" s="7" t="n">
        <v>292.744488381643</v>
      </c>
      <c r="K57" s="7" t="n">
        <v>135.724396605947</v>
      </c>
      <c r="L57" s="7" t="n">
        <v>101.778714005089</v>
      </c>
      <c r="M57" s="7" t="n">
        <v>55.4427598227528</v>
      </c>
      <c r="N57" s="7" t="n">
        <v>21.2393869675315</v>
      </c>
      <c r="O57" s="7" t="n">
        <v>41.6247602541651</v>
      </c>
      <c r="P57" s="7" t="n">
        <v>5.52186165019336</v>
      </c>
      <c r="Q57" s="7" t="n">
        <v>0</v>
      </c>
      <c r="R57" s="7" t="n">
        <v>0</v>
      </c>
      <c r="S57" s="7" t="n">
        <v>0</v>
      </c>
      <c r="T57" s="7" t="n">
        <v>38.2338731430151</v>
      </c>
      <c r="U57" s="7" t="n">
        <v>0.505294797422999</v>
      </c>
      <c r="V57" s="7" t="n">
        <v>0</v>
      </c>
      <c r="W57" s="7" t="n">
        <v>0</v>
      </c>
      <c r="X57" s="7" t="n">
        <v>41.4215737798612</v>
      </c>
      <c r="Y57" s="7" t="n">
        <v>262.438992721532</v>
      </c>
      <c r="Z57" s="7" t="n">
        <v>564.613389643051</v>
      </c>
      <c r="AA57" s="7" t="n">
        <v>110.732758318995</v>
      </c>
      <c r="AB57" s="7" t="n">
        <v>335.351871082327</v>
      </c>
    </row>
    <row r="58" customFormat="false" ht="15" hidden="false" customHeight="false" outlineLevel="0" collapsed="false">
      <c r="A58" s="4" t="s">
        <v>138</v>
      </c>
      <c r="B58" s="4" t="s">
        <v>139</v>
      </c>
      <c r="C58" s="4" t="s">
        <v>112</v>
      </c>
      <c r="D58" s="4" t="s">
        <v>79</v>
      </c>
      <c r="E58" s="4" t="s">
        <v>93</v>
      </c>
      <c r="F58" s="7" t="n">
        <v>11</v>
      </c>
      <c r="G58" s="7" t="n">
        <v>11</v>
      </c>
      <c r="H58" s="7" t="n">
        <v>4.04137763770864</v>
      </c>
      <c r="I58" s="7" t="n">
        <v>10.048865075022</v>
      </c>
      <c r="J58" s="7" t="n">
        <v>11.0000000000002</v>
      </c>
      <c r="K58" s="7" t="n">
        <v>7.92771558258565</v>
      </c>
      <c r="L58" s="7" t="n">
        <v>10.0058432289394</v>
      </c>
      <c r="M58" s="7" t="n">
        <v>8.89414606671078</v>
      </c>
      <c r="N58" s="7" t="n">
        <v>10.3333333333335</v>
      </c>
      <c r="O58" s="7" t="n">
        <v>10</v>
      </c>
      <c r="P58" s="7" t="n">
        <v>10</v>
      </c>
      <c r="Q58" s="7" t="n">
        <v>10</v>
      </c>
      <c r="R58" s="7" t="n">
        <v>9.75538194081965</v>
      </c>
      <c r="S58" s="7" t="n">
        <v>3.50799761539038</v>
      </c>
      <c r="T58" s="7" t="n">
        <v>5.81904893615572</v>
      </c>
      <c r="U58" s="7" t="n">
        <v>13.3333333333333</v>
      </c>
      <c r="V58" s="7" t="n">
        <v>10</v>
      </c>
      <c r="W58" s="7" t="n">
        <v>8.33184069004332</v>
      </c>
      <c r="X58" s="7" t="n">
        <v>10.0000000000002</v>
      </c>
      <c r="Y58" s="7" t="n">
        <v>10.0000000000003</v>
      </c>
      <c r="Z58" s="7" t="n">
        <v>10.0000000000002</v>
      </c>
      <c r="AA58" s="7" t="n">
        <v>10.0000000000005</v>
      </c>
      <c r="AB58" s="7" t="n">
        <v>10.0000000000003</v>
      </c>
    </row>
    <row r="59" customFormat="false" ht="15" hidden="false" customHeight="false" outlineLevel="0" collapsed="false">
      <c r="A59" s="4" t="s">
        <v>140</v>
      </c>
      <c r="B59" s="4" t="s">
        <v>141</v>
      </c>
      <c r="C59" s="4" t="s">
        <v>107</v>
      </c>
      <c r="D59" s="4" t="s">
        <v>79</v>
      </c>
      <c r="E59" s="4" t="s">
        <v>91</v>
      </c>
      <c r="F59" s="7" t="n">
        <v>55205.4251541499</v>
      </c>
      <c r="G59" s="7" t="n">
        <v>78849.1085633188</v>
      </c>
      <c r="H59" s="7" t="n">
        <v>77804.2062687632</v>
      </c>
      <c r="I59" s="7" t="n">
        <v>85862.0062326768</v>
      </c>
      <c r="J59" s="7" t="n">
        <v>106555.559544567</v>
      </c>
      <c r="K59" s="7" t="n">
        <v>86474.0391124502</v>
      </c>
      <c r="L59" s="7" t="n">
        <v>70219.8783801934</v>
      </c>
      <c r="M59" s="7" t="n">
        <v>166204.687269176</v>
      </c>
      <c r="N59" s="7" t="n">
        <v>85638.2543908084</v>
      </c>
      <c r="O59" s="7" t="n">
        <v>134507.536266603</v>
      </c>
      <c r="P59" s="7" t="n">
        <v>126756.162949738</v>
      </c>
      <c r="Q59" s="7" t="n">
        <v>119027.494982058</v>
      </c>
      <c r="R59" s="7" t="n">
        <v>53315.2442360445</v>
      </c>
      <c r="S59" s="7" t="n">
        <v>63465</v>
      </c>
      <c r="T59" s="7" t="n">
        <v>47735.4115943554</v>
      </c>
      <c r="U59" s="7" t="n">
        <v>163589.333333333</v>
      </c>
      <c r="V59" s="7" t="n">
        <v>174265.666666667</v>
      </c>
      <c r="W59" s="7" t="n">
        <v>126633</v>
      </c>
      <c r="X59" s="7" t="n">
        <v>145555</v>
      </c>
      <c r="Y59" s="7" t="n">
        <v>120268.164308276</v>
      </c>
      <c r="Z59" s="7" t="n">
        <v>150745.955985503</v>
      </c>
      <c r="AA59" s="7" t="n">
        <v>166288.733185325</v>
      </c>
      <c r="AB59" s="7" t="n">
        <v>100567.998182701</v>
      </c>
    </row>
    <row r="60" customFormat="false" ht="15" hidden="false" customHeight="false" outlineLevel="0" collapsed="false">
      <c r="A60" s="4" t="s">
        <v>140</v>
      </c>
      <c r="B60" s="4" t="s">
        <v>141</v>
      </c>
      <c r="C60" s="4" t="s">
        <v>107</v>
      </c>
      <c r="D60" s="4" t="s">
        <v>79</v>
      </c>
      <c r="E60" s="4" t="s">
        <v>92</v>
      </c>
      <c r="F60" s="7" t="n">
        <v>26550.7281518906</v>
      </c>
      <c r="G60" s="7" t="n">
        <v>26210.1257902928</v>
      </c>
      <c r="H60" s="7" t="n">
        <v>34727.3185609461</v>
      </c>
      <c r="I60" s="7" t="n">
        <v>46998.1556515435</v>
      </c>
      <c r="J60" s="7" t="n">
        <v>61543.8855026852</v>
      </c>
      <c r="K60" s="7" t="n">
        <v>62955.7255311659</v>
      </c>
      <c r="L60" s="7" t="n">
        <v>52790.0258181438</v>
      </c>
      <c r="M60" s="7" t="n">
        <v>106551.915569721</v>
      </c>
      <c r="N60" s="7" t="n">
        <v>80407.1312545533</v>
      </c>
      <c r="O60" s="7" t="n">
        <v>113391.079250686</v>
      </c>
      <c r="P60" s="7" t="n">
        <v>90005.151141968</v>
      </c>
      <c r="Q60" s="7" t="n">
        <v>55883.0714244306</v>
      </c>
      <c r="R60" s="7" t="n">
        <v>61416.8844813527</v>
      </c>
      <c r="S60" s="7" t="n">
        <v>89473.4567522206</v>
      </c>
      <c r="T60" s="7" t="n">
        <v>79098.5170240138</v>
      </c>
      <c r="U60" s="7" t="n">
        <v>151307.247746164</v>
      </c>
      <c r="V60" s="7" t="n">
        <v>137339.013964713</v>
      </c>
      <c r="W60" s="7" t="n">
        <v>117083.58340379</v>
      </c>
      <c r="X60" s="7" t="n">
        <v>129855.189970546</v>
      </c>
      <c r="Y60" s="7" t="n">
        <v>90035.1713970866</v>
      </c>
      <c r="Z60" s="7" t="n">
        <v>97193.7480764216</v>
      </c>
      <c r="AA60" s="7" t="n">
        <v>126929.033782411</v>
      </c>
      <c r="AB60" s="7" t="n">
        <v>49565.3563418739</v>
      </c>
    </row>
    <row r="61" customFormat="false" ht="15" hidden="false" customHeight="false" outlineLevel="0" collapsed="false">
      <c r="A61" s="4" t="s">
        <v>140</v>
      </c>
      <c r="B61" s="4" t="s">
        <v>141</v>
      </c>
      <c r="C61" s="4" t="s">
        <v>107</v>
      </c>
      <c r="D61" s="4" t="s">
        <v>79</v>
      </c>
      <c r="E61" s="4" t="s">
        <v>93</v>
      </c>
      <c r="F61" s="7" t="n">
        <v>1.26961879642694</v>
      </c>
      <c r="G61" s="7" t="n">
        <v>0.962697480636622</v>
      </c>
      <c r="H61" s="7" t="n">
        <v>1.92290921866794</v>
      </c>
      <c r="I61" s="7" t="n">
        <v>0.151154849233344</v>
      </c>
      <c r="J61" s="7" t="n">
        <v>2.16179219848277</v>
      </c>
      <c r="K61" s="7" t="n">
        <v>1.03701005113677</v>
      </c>
      <c r="L61" s="7" t="n">
        <v>2.22066923597226</v>
      </c>
      <c r="M61" s="7" t="n">
        <v>1.04497420017979</v>
      </c>
      <c r="N61" s="7" t="n">
        <v>0.889155677912874</v>
      </c>
      <c r="O61" s="7" t="n">
        <v>1.47700617966124</v>
      </c>
      <c r="P61" s="7" t="n">
        <v>2.21562345564045</v>
      </c>
      <c r="Q61" s="7" t="n">
        <v>0.667611174074319</v>
      </c>
      <c r="R61" s="7" t="n">
        <v>1.48094523925781</v>
      </c>
      <c r="S61" s="7" t="n">
        <v>7.29835829963184</v>
      </c>
      <c r="T61" s="7" t="n">
        <v>2.02921484787038</v>
      </c>
      <c r="U61" s="7" t="n">
        <v>1.02320112053366</v>
      </c>
      <c r="V61" s="7" t="n">
        <v>0.285832888805913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</row>
    <row r="62" customFormat="false" ht="15" hidden="false" customHeight="false" outlineLevel="0" collapsed="false">
      <c r="A62" s="4" t="s">
        <v>53</v>
      </c>
      <c r="B62" s="4" t="s">
        <v>54</v>
      </c>
      <c r="C62" s="4" t="s">
        <v>107</v>
      </c>
      <c r="D62" s="4" t="s">
        <v>53</v>
      </c>
      <c r="E62" s="4" t="s">
        <v>91</v>
      </c>
      <c r="F62" s="7" t="n">
        <v>251755.688473141</v>
      </c>
      <c r="G62" s="7" t="n">
        <v>367133.092464268</v>
      </c>
      <c r="H62" s="7" t="n">
        <v>478399.307326659</v>
      </c>
      <c r="I62" s="7" t="n">
        <v>437240.827230839</v>
      </c>
      <c r="J62" s="7" t="n">
        <v>210130.775609281</v>
      </c>
      <c r="K62" s="7" t="n">
        <v>161181.385352388</v>
      </c>
      <c r="L62" s="7" t="n">
        <v>195021.998013535</v>
      </c>
      <c r="M62" s="7" t="n">
        <v>210882.182250535</v>
      </c>
      <c r="N62" s="7" t="n">
        <v>181679.275725163</v>
      </c>
      <c r="O62" s="7" t="n">
        <v>268711.958231123</v>
      </c>
      <c r="P62" s="7" t="n">
        <v>225524.565929497</v>
      </c>
      <c r="Q62" s="7" t="n">
        <v>374235.669513753</v>
      </c>
      <c r="R62" s="7" t="n">
        <v>169325.889477814</v>
      </c>
      <c r="S62" s="7" t="n">
        <v>222716.920038803</v>
      </c>
      <c r="T62" s="7" t="n">
        <v>148185.704442431</v>
      </c>
      <c r="U62" s="7" t="n">
        <v>210505.850188476</v>
      </c>
      <c r="V62" s="7" t="n">
        <v>182840.374424354</v>
      </c>
      <c r="W62" s="7" t="n">
        <v>146494.938561496</v>
      </c>
      <c r="X62" s="7" t="n">
        <v>151003.117479664</v>
      </c>
      <c r="Y62" s="7" t="n">
        <v>153333.727221179</v>
      </c>
      <c r="Z62" s="7" t="n">
        <v>128888.729755196</v>
      </c>
      <c r="AA62" s="7" t="n">
        <v>186426.538551463</v>
      </c>
      <c r="AB62" s="7" t="n">
        <v>101998.889220153</v>
      </c>
    </row>
    <row r="63" customFormat="false" ht="15" hidden="false" customHeight="false" outlineLevel="0" collapsed="false">
      <c r="A63" s="4" t="s">
        <v>53</v>
      </c>
      <c r="B63" s="4" t="s">
        <v>54</v>
      </c>
      <c r="C63" s="4" t="s">
        <v>107</v>
      </c>
      <c r="D63" s="4" t="s">
        <v>53</v>
      </c>
      <c r="E63" s="4" t="s">
        <v>92</v>
      </c>
      <c r="F63" s="7" t="n">
        <v>1354630.24765832</v>
      </c>
      <c r="G63" s="7" t="n">
        <v>2067870.79582521</v>
      </c>
      <c r="H63" s="7" t="n">
        <v>1895766.87737694</v>
      </c>
      <c r="I63" s="7" t="n">
        <v>2395808.36368272</v>
      </c>
      <c r="J63" s="7" t="n">
        <v>2230239.41850627</v>
      </c>
      <c r="K63" s="7" t="n">
        <v>1788022.68736946</v>
      </c>
      <c r="L63" s="7" t="n">
        <v>1473675.39870168</v>
      </c>
      <c r="M63" s="7" t="n">
        <v>1302302.45377779</v>
      </c>
      <c r="N63" s="7" t="n">
        <v>901100.215030272</v>
      </c>
      <c r="O63" s="7" t="n">
        <v>1358282.06755492</v>
      </c>
      <c r="P63" s="7" t="n">
        <v>899554.396902472</v>
      </c>
      <c r="Q63" s="7" t="n">
        <v>1237030.92923332</v>
      </c>
      <c r="R63" s="7" t="n">
        <v>788766.379825294</v>
      </c>
      <c r="S63" s="7" t="n">
        <v>1151169.1967692</v>
      </c>
      <c r="T63" s="7" t="n">
        <v>1038989.42636778</v>
      </c>
      <c r="U63" s="7" t="n">
        <v>1722570.08038273</v>
      </c>
      <c r="V63" s="7" t="n">
        <v>1541157.57631497</v>
      </c>
      <c r="W63" s="7" t="n">
        <v>1224270.70096958</v>
      </c>
      <c r="X63" s="7" t="n">
        <v>1346133.21394697</v>
      </c>
      <c r="Y63" s="7" t="n">
        <v>1484560.84731194</v>
      </c>
      <c r="Z63" s="7" t="n">
        <v>1549581.14650013</v>
      </c>
      <c r="AA63" s="7" t="n">
        <v>1715304.15387325</v>
      </c>
      <c r="AB63" s="7" t="n">
        <v>1145311.8972675</v>
      </c>
    </row>
    <row r="64" customFormat="false" ht="15" hidden="false" customHeight="false" outlineLevel="0" collapsed="false">
      <c r="A64" s="4" t="s">
        <v>53</v>
      </c>
      <c r="B64" s="4" t="s">
        <v>54</v>
      </c>
      <c r="C64" s="4" t="s">
        <v>107</v>
      </c>
      <c r="D64" s="4" t="s">
        <v>53</v>
      </c>
      <c r="E64" s="4" t="s">
        <v>93</v>
      </c>
      <c r="F64" s="7" t="n">
        <v>3189.87942176813</v>
      </c>
      <c r="G64" s="7" t="n">
        <v>5441.95353224252</v>
      </c>
      <c r="H64" s="7" t="n">
        <v>5286.11595978447</v>
      </c>
      <c r="I64" s="7" t="n">
        <v>6939.53612116576</v>
      </c>
      <c r="J64" s="7" t="n">
        <v>8374.50351211292</v>
      </c>
      <c r="K64" s="7" t="n">
        <v>9801.03633077987</v>
      </c>
      <c r="L64" s="7" t="n">
        <v>12068.54827878</v>
      </c>
      <c r="M64" s="7" t="n">
        <v>12307.1473166643</v>
      </c>
      <c r="N64" s="7" t="n">
        <v>10201.4066953813</v>
      </c>
      <c r="O64" s="7" t="n">
        <v>15006.6568723453</v>
      </c>
      <c r="P64" s="7" t="n">
        <v>21263.8188549695</v>
      </c>
      <c r="Q64" s="7" t="n">
        <v>39766.0099537088</v>
      </c>
      <c r="R64" s="7" t="n">
        <v>29274.5593945016</v>
      </c>
      <c r="S64" s="7" t="n">
        <v>38486.9020465863</v>
      </c>
      <c r="T64" s="7" t="n">
        <v>30616.8583562615</v>
      </c>
      <c r="U64" s="7" t="n">
        <v>47959.6713892542</v>
      </c>
      <c r="V64" s="7" t="n">
        <v>54570.7087397416</v>
      </c>
      <c r="W64" s="7" t="n">
        <v>47446.2156112269</v>
      </c>
      <c r="X64" s="7" t="n">
        <v>46362.0746979112</v>
      </c>
      <c r="Y64" s="7" t="n">
        <v>43433.8071899611</v>
      </c>
      <c r="Z64" s="7" t="n">
        <v>46630.7818734829</v>
      </c>
      <c r="AA64" s="7" t="n">
        <v>45220.5240739256</v>
      </c>
      <c r="AB64" s="7" t="n">
        <v>43658.7533392045</v>
      </c>
    </row>
    <row r="65" customFormat="false" ht="15" hidden="false" customHeight="false" outlineLevel="0" collapsed="false">
      <c r="A65" s="4" t="s">
        <v>142</v>
      </c>
      <c r="B65" s="4" t="s">
        <v>143</v>
      </c>
      <c r="C65" s="4" t="s">
        <v>112</v>
      </c>
      <c r="D65" s="4" t="s">
        <v>79</v>
      </c>
      <c r="E65" s="4" t="s">
        <v>91</v>
      </c>
      <c r="F65" s="7" t="n">
        <v>0.899404473876953</v>
      </c>
      <c r="G65" s="7" t="n">
        <v>1.12409340820313</v>
      </c>
      <c r="H65" s="7" t="n">
        <v>0.0749235290527344</v>
      </c>
      <c r="I65" s="7" t="n">
        <v>0.773431339571139</v>
      </c>
      <c r="J65" s="7" t="n">
        <v>1.69702444751496</v>
      </c>
      <c r="K65" s="7" t="n">
        <v>1.27675844529626</v>
      </c>
      <c r="L65" s="7" t="n">
        <v>0.524635980224609</v>
      </c>
      <c r="M65" s="7" t="n">
        <v>0.149927655029297</v>
      </c>
      <c r="N65" s="7" t="n">
        <v>0.749411511230469</v>
      </c>
      <c r="O65" s="7" t="n">
        <v>0.824503741455078</v>
      </c>
      <c r="P65" s="7" t="n">
        <v>0.224835394287109</v>
      </c>
      <c r="Q65" s="7" t="n">
        <v>1.19921976318359</v>
      </c>
      <c r="R65" s="7" t="n">
        <v>0</v>
      </c>
      <c r="S65" s="7" t="n">
        <v>0</v>
      </c>
      <c r="T65" s="7" t="n">
        <v>0</v>
      </c>
      <c r="U65" s="7" t="n">
        <v>1.21284113958653</v>
      </c>
      <c r="V65" s="7" t="n">
        <v>0.322046847012626</v>
      </c>
      <c r="W65" s="7" t="n">
        <v>0.176494034982914</v>
      </c>
      <c r="X65" s="7" t="n">
        <v>0.0524496991230977</v>
      </c>
      <c r="Y65" s="7" t="n">
        <v>0</v>
      </c>
      <c r="Z65" s="7" t="n">
        <v>0.379784548812679</v>
      </c>
      <c r="AA65" s="7" t="n">
        <v>0</v>
      </c>
      <c r="AB65" s="7" t="n">
        <v>0.0539241694202367</v>
      </c>
    </row>
    <row r="66" customFormat="false" ht="15" hidden="false" customHeight="false" outlineLevel="0" collapsed="false">
      <c r="A66" s="4" t="s">
        <v>142</v>
      </c>
      <c r="B66" s="4" t="s">
        <v>143</v>
      </c>
      <c r="C66" s="4" t="s">
        <v>112</v>
      </c>
      <c r="D66" s="4" t="s">
        <v>79</v>
      </c>
      <c r="E66" s="4" t="s">
        <v>92</v>
      </c>
      <c r="F66" s="7" t="n">
        <v>3.14814754638672</v>
      </c>
      <c r="G66" s="7" t="n">
        <v>1.92343748386757</v>
      </c>
      <c r="H66" s="7" t="n">
        <v>0.224882080078125</v>
      </c>
      <c r="I66" s="7" t="n">
        <v>0.201040517118314</v>
      </c>
      <c r="J66" s="7" t="n">
        <v>0.551309408686209</v>
      </c>
      <c r="K66" s="7" t="n">
        <v>0.222034366892584</v>
      </c>
      <c r="L66" s="7" t="n">
        <v>3.14765990600586</v>
      </c>
      <c r="M66" s="7" t="n">
        <v>2.02375286944221</v>
      </c>
      <c r="N66" s="7" t="n">
        <v>2.98543896958295</v>
      </c>
      <c r="O66" s="7" t="n">
        <v>2.17334060058594</v>
      </c>
      <c r="P66" s="7" t="n">
        <v>2.24838970336914</v>
      </c>
      <c r="Q66" s="7" t="n">
        <v>7.41886691896925</v>
      </c>
      <c r="R66" s="7" t="n">
        <v>0.449736743164063</v>
      </c>
      <c r="S66" s="7" t="n">
        <v>0.449756365966797</v>
      </c>
      <c r="T66" s="7" t="n">
        <v>0</v>
      </c>
      <c r="U66" s="7" t="n">
        <v>0.211565208069721</v>
      </c>
      <c r="V66" s="7" t="n">
        <v>0.27756297964753</v>
      </c>
      <c r="W66" s="7" t="n">
        <v>0.198239833425289</v>
      </c>
      <c r="X66" s="7" t="n">
        <v>0.0225015887186991</v>
      </c>
      <c r="Y66" s="7" t="n">
        <v>0</v>
      </c>
      <c r="Z66" s="7" t="n">
        <v>0.144899167007634</v>
      </c>
      <c r="AA66" s="7" t="n">
        <v>0</v>
      </c>
      <c r="AB66" s="7" t="n">
        <v>0.0210234502086696</v>
      </c>
    </row>
    <row r="67" customFormat="false" ht="15" hidden="false" customHeight="false" outlineLevel="0" collapsed="false">
      <c r="A67" s="4" t="s">
        <v>142</v>
      </c>
      <c r="B67" s="4" t="s">
        <v>143</v>
      </c>
      <c r="C67" s="4" t="s">
        <v>112</v>
      </c>
      <c r="D67" s="4" t="s">
        <v>79</v>
      </c>
      <c r="E67" s="4" t="s">
        <v>93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</row>
    <row r="68" customFormat="false" ht="15" hidden="false" customHeight="false" outlineLevel="0" collapsed="false">
      <c r="A68" s="4" t="s">
        <v>144</v>
      </c>
      <c r="B68" s="4" t="s">
        <v>145</v>
      </c>
      <c r="C68" s="4" t="s">
        <v>146</v>
      </c>
      <c r="D68" s="4" t="s">
        <v>47</v>
      </c>
      <c r="E68" s="4" t="s">
        <v>91</v>
      </c>
      <c r="F68" s="7" t="n">
        <v>72.5603996071197</v>
      </c>
      <c r="G68" s="7" t="n">
        <v>46.2428974137164</v>
      </c>
      <c r="H68" s="7" t="n">
        <v>68.936664789704</v>
      </c>
      <c r="I68" s="7" t="n">
        <v>89.8816938474169</v>
      </c>
      <c r="J68" s="7" t="n">
        <v>78.6554046446318</v>
      </c>
      <c r="K68" s="7" t="n">
        <v>145.554378090677</v>
      </c>
      <c r="L68" s="7" t="n">
        <v>253.756375753461</v>
      </c>
      <c r="M68" s="7" t="n">
        <v>122.697995382894</v>
      </c>
      <c r="N68" s="7" t="n">
        <v>213.708953030535</v>
      </c>
      <c r="O68" s="7" t="n">
        <v>96.053956474092</v>
      </c>
      <c r="P68" s="7" t="n">
        <v>312</v>
      </c>
      <c r="Q68" s="7" t="n">
        <v>170.050472662776</v>
      </c>
      <c r="R68" s="7" t="n">
        <v>69.5633159360379</v>
      </c>
      <c r="S68" s="7" t="n">
        <v>147.377557665219</v>
      </c>
      <c r="T68" s="7" t="n">
        <v>78.7528622818602</v>
      </c>
      <c r="U68" s="7" t="n">
        <v>156.333333333333</v>
      </c>
      <c r="V68" s="7" t="n">
        <v>98.3333333333333</v>
      </c>
      <c r="W68" s="7" t="n">
        <v>53.7808094688781</v>
      </c>
      <c r="X68" s="7" t="n">
        <v>75.3350993993908</v>
      </c>
      <c r="Y68" s="7" t="n">
        <v>65.6190033357345</v>
      </c>
      <c r="Z68" s="7" t="n">
        <v>104.781652449067</v>
      </c>
      <c r="AA68" s="7" t="n">
        <v>53.3893129676993</v>
      </c>
      <c r="AB68" s="7" t="n">
        <v>47.7759985404909</v>
      </c>
    </row>
    <row r="69" customFormat="false" ht="15" hidden="false" customHeight="false" outlineLevel="0" collapsed="false">
      <c r="A69" s="4" t="s">
        <v>144</v>
      </c>
      <c r="B69" s="4" t="s">
        <v>145</v>
      </c>
      <c r="C69" s="4" t="s">
        <v>146</v>
      </c>
      <c r="D69" s="4" t="s">
        <v>47</v>
      </c>
      <c r="E69" s="4" t="s">
        <v>92</v>
      </c>
      <c r="F69" s="7" t="n">
        <v>23.6558384235751</v>
      </c>
      <c r="G69" s="7" t="n">
        <v>15.0975872868044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45.4113041178311</v>
      </c>
      <c r="O69" s="7" t="n">
        <v>17.0835758781072</v>
      </c>
      <c r="P69" s="7" t="n">
        <v>59.6413264787292</v>
      </c>
      <c r="Q69" s="7" t="n">
        <v>34.8476870136896</v>
      </c>
      <c r="R69" s="7" t="n">
        <v>15.5633017547748</v>
      </c>
      <c r="S69" s="7" t="n">
        <v>32.7558734666123</v>
      </c>
      <c r="T69" s="7" t="n">
        <v>10.7761291759465</v>
      </c>
      <c r="U69" s="7" t="n">
        <v>24.8332783713049</v>
      </c>
      <c r="V69" s="7" t="n">
        <v>14.5204396645304</v>
      </c>
      <c r="W69" s="7" t="n">
        <v>11.4366772148305</v>
      </c>
      <c r="X69" s="7" t="n">
        <v>13.1673230928781</v>
      </c>
      <c r="Y69" s="7" t="n">
        <v>10.7590870789456</v>
      </c>
      <c r="Z69" s="7" t="n">
        <v>16.4689438701779</v>
      </c>
      <c r="AA69" s="7" t="n">
        <v>8.10329737905218</v>
      </c>
      <c r="AB69" s="7" t="n">
        <v>7.48365627396227</v>
      </c>
    </row>
    <row r="70" customFormat="false" ht="15" hidden="false" customHeight="false" outlineLevel="0" collapsed="false">
      <c r="A70" s="4" t="s">
        <v>144</v>
      </c>
      <c r="B70" s="4" t="s">
        <v>145</v>
      </c>
      <c r="C70" s="4" t="s">
        <v>146</v>
      </c>
      <c r="D70" s="4" t="s">
        <v>47</v>
      </c>
      <c r="E70" s="4" t="s">
        <v>93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</row>
    <row r="71" customFormat="false" ht="15" hidden="false" customHeight="false" outlineLevel="0" collapsed="false">
      <c r="A71" s="4" t="s">
        <v>147</v>
      </c>
      <c r="B71" s="4" t="s">
        <v>148</v>
      </c>
      <c r="C71" s="4" t="s">
        <v>99</v>
      </c>
      <c r="D71" s="4" t="s">
        <v>81</v>
      </c>
      <c r="E71" s="4" t="s">
        <v>91</v>
      </c>
      <c r="F71" s="7" t="n">
        <v>16.2375133536636</v>
      </c>
      <c r="G71" s="7" t="n">
        <v>31.019863180205</v>
      </c>
      <c r="H71" s="7" t="n">
        <v>26.9318870422363</v>
      </c>
      <c r="I71" s="7" t="n">
        <v>27.4697210205078</v>
      </c>
      <c r="J71" s="7" t="n">
        <v>7.96268873738607</v>
      </c>
      <c r="K71" s="7" t="n">
        <v>3.22476235988243</v>
      </c>
      <c r="L71" s="7" t="n">
        <v>3.43674580078125</v>
      </c>
      <c r="M71" s="7" t="n">
        <v>9.67913084716797</v>
      </c>
      <c r="N71" s="7" t="n">
        <v>10.0116542907715</v>
      </c>
      <c r="O71" s="7" t="n">
        <v>153.533591675164</v>
      </c>
      <c r="P71" s="7" t="n">
        <v>13.856750177002</v>
      </c>
      <c r="Q71" s="7" t="n">
        <v>18.4311941971364</v>
      </c>
      <c r="R71" s="7" t="n">
        <v>9.666331640625</v>
      </c>
      <c r="S71" s="7" t="n">
        <v>12.7602557983398</v>
      </c>
      <c r="T71" s="7" t="n">
        <v>17.4291102568024</v>
      </c>
      <c r="U71" s="7" t="n">
        <v>36.7301428130984</v>
      </c>
      <c r="V71" s="7" t="n">
        <v>160.811103334961</v>
      </c>
      <c r="W71" s="7" t="n">
        <v>88.3091969438912</v>
      </c>
      <c r="X71" s="7" t="n">
        <v>74.7192620768572</v>
      </c>
      <c r="Y71" s="7" t="n">
        <v>93.4531785458574</v>
      </c>
      <c r="Z71" s="7" t="n">
        <v>80.0174189726597</v>
      </c>
      <c r="AA71" s="7" t="n">
        <v>80.0785532049447</v>
      </c>
      <c r="AB71" s="7" t="n">
        <v>61.3567351637512</v>
      </c>
    </row>
    <row r="72" customFormat="false" ht="15" hidden="false" customHeight="false" outlineLevel="0" collapsed="false">
      <c r="A72" s="4" t="s">
        <v>147</v>
      </c>
      <c r="B72" s="4" t="s">
        <v>148</v>
      </c>
      <c r="C72" s="4" t="s">
        <v>99</v>
      </c>
      <c r="D72" s="4" t="s">
        <v>81</v>
      </c>
      <c r="E72" s="4" t="s">
        <v>92</v>
      </c>
      <c r="F72" s="7" t="n">
        <v>57.1849046520822</v>
      </c>
      <c r="G72" s="7" t="n">
        <v>20.9503249857079</v>
      </c>
      <c r="H72" s="7" t="n">
        <v>65.5083424308031</v>
      </c>
      <c r="I72" s="7" t="n">
        <v>143.739933399721</v>
      </c>
      <c r="J72" s="7" t="n">
        <v>108.153693327822</v>
      </c>
      <c r="K72" s="7" t="n">
        <v>79.7703672457432</v>
      </c>
      <c r="L72" s="7" t="n">
        <v>68.5165451140263</v>
      </c>
      <c r="M72" s="7" t="n">
        <v>79.5177988346522</v>
      </c>
      <c r="N72" s="7" t="n">
        <v>111.358203221892</v>
      </c>
      <c r="O72" s="7" t="n">
        <v>309.929439135734</v>
      </c>
      <c r="P72" s="7" t="n">
        <v>127.882380646324</v>
      </c>
      <c r="Q72" s="7" t="n">
        <v>108.011678060431</v>
      </c>
      <c r="R72" s="7" t="n">
        <v>48.8759814497085</v>
      </c>
      <c r="S72" s="7" t="n">
        <v>111.318241633116</v>
      </c>
      <c r="T72" s="7" t="n">
        <v>50.2515431857836</v>
      </c>
      <c r="U72" s="7" t="n">
        <v>99.7628918247164</v>
      </c>
      <c r="V72" s="7" t="n">
        <v>16.4417420062291</v>
      </c>
      <c r="W72" s="7" t="n">
        <v>1.12582071659379</v>
      </c>
      <c r="X72" s="7" t="n">
        <v>0</v>
      </c>
      <c r="Y72" s="7" t="n">
        <v>8.96534669868917</v>
      </c>
      <c r="Z72" s="7" t="n">
        <v>15.0041980303015</v>
      </c>
      <c r="AA72" s="7" t="n">
        <v>26.4038528966881</v>
      </c>
      <c r="AB72" s="7" t="n">
        <v>12.5215418522787</v>
      </c>
    </row>
    <row r="73" customFormat="false" ht="15" hidden="false" customHeight="false" outlineLevel="0" collapsed="false">
      <c r="A73" s="4" t="s">
        <v>147</v>
      </c>
      <c r="B73" s="4" t="s">
        <v>148</v>
      </c>
      <c r="C73" s="4" t="s">
        <v>99</v>
      </c>
      <c r="D73" s="4" t="s">
        <v>81</v>
      </c>
      <c r="E73" s="4" t="s">
        <v>93</v>
      </c>
      <c r="F73" s="7" t="n">
        <v>21</v>
      </c>
      <c r="G73" s="7" t="n">
        <v>21</v>
      </c>
      <c r="H73" s="7" t="n">
        <v>21.0000000000012</v>
      </c>
      <c r="I73" s="7" t="n">
        <v>21</v>
      </c>
      <c r="J73" s="7" t="n">
        <v>21</v>
      </c>
      <c r="K73" s="7" t="n">
        <v>21</v>
      </c>
      <c r="L73" s="7" t="n">
        <v>21</v>
      </c>
      <c r="M73" s="7" t="n">
        <v>40.5456267158131</v>
      </c>
      <c r="N73" s="7" t="n">
        <v>72.6253916960342</v>
      </c>
      <c r="O73" s="7" t="n">
        <v>104</v>
      </c>
      <c r="P73" s="7" t="n">
        <v>26.2026477286092</v>
      </c>
      <c r="Q73" s="7" t="n">
        <v>27.935763317599</v>
      </c>
      <c r="R73" s="7" t="n">
        <v>18.8022426896958</v>
      </c>
      <c r="S73" s="7" t="n">
        <v>44.6680042292031</v>
      </c>
      <c r="T73" s="7" t="n">
        <v>31.301196865079</v>
      </c>
      <c r="U73" s="7" t="n">
        <v>110</v>
      </c>
      <c r="V73" s="7" t="n">
        <v>105.188232292369</v>
      </c>
      <c r="W73" s="7" t="n">
        <v>71.1836511525847</v>
      </c>
      <c r="X73" s="7" t="n">
        <v>58.0831365008322</v>
      </c>
      <c r="Y73" s="7" t="n">
        <v>106.997703613426</v>
      </c>
      <c r="Z73" s="7" t="n">
        <v>70.5691839529212</v>
      </c>
      <c r="AA73" s="7" t="n">
        <v>79.2852657535488</v>
      </c>
      <c r="AB73" s="7" t="n">
        <v>110</v>
      </c>
    </row>
    <row r="74" customFormat="false" ht="15" hidden="false" customHeight="false" outlineLevel="0" collapsed="false">
      <c r="A74" s="4" t="s">
        <v>149</v>
      </c>
      <c r="B74" s="4" t="s">
        <v>150</v>
      </c>
      <c r="C74" s="4" t="s">
        <v>101</v>
      </c>
      <c r="D74" s="4" t="s">
        <v>59</v>
      </c>
      <c r="E74" s="4" t="s">
        <v>91</v>
      </c>
      <c r="F74" s="7" t="n">
        <v>39.8798922774507</v>
      </c>
      <c r="G74" s="7" t="n">
        <v>0</v>
      </c>
      <c r="H74" s="7" t="n">
        <v>1.95690239610256</v>
      </c>
      <c r="I74" s="7" t="n">
        <v>1.31104792480469</v>
      </c>
      <c r="J74" s="7" t="n">
        <v>54.2692353343945</v>
      </c>
      <c r="K74" s="7" t="n">
        <v>33.3095405959425</v>
      </c>
      <c r="L74" s="7" t="n">
        <v>29.567877258886</v>
      </c>
      <c r="M74" s="7" t="n">
        <v>14.4471959742706</v>
      </c>
      <c r="N74" s="7" t="n">
        <v>8.87673195800781</v>
      </c>
      <c r="O74" s="7" t="n">
        <v>8.36480791125383</v>
      </c>
      <c r="P74" s="7" t="n">
        <v>18.6515851895572</v>
      </c>
      <c r="Q74" s="7" t="n">
        <v>2.87481552734375</v>
      </c>
      <c r="R74" s="7" t="n">
        <v>0.218853961181641</v>
      </c>
      <c r="S74" s="7" t="n">
        <v>0</v>
      </c>
      <c r="T74" s="7" t="n">
        <v>0.0438344365663748</v>
      </c>
      <c r="U74" s="7" t="n">
        <v>0.350301722922882</v>
      </c>
      <c r="V74" s="7" t="n">
        <v>1.05494829263878</v>
      </c>
      <c r="W74" s="7" t="n">
        <v>0.844397414076816</v>
      </c>
      <c r="X74" s="7" t="n">
        <v>0.0648975458486834</v>
      </c>
      <c r="Y74" s="7" t="n">
        <v>1.71391118031453</v>
      </c>
      <c r="Z74" s="7" t="n">
        <v>0.31514750293436</v>
      </c>
      <c r="AA74" s="7" t="n">
        <v>0.210564868402894</v>
      </c>
      <c r="AB74" s="7" t="n">
        <v>0.591703884212676</v>
      </c>
    </row>
    <row r="75" customFormat="false" ht="15" hidden="false" customHeight="false" outlineLevel="0" collapsed="false">
      <c r="A75" s="4" t="s">
        <v>149</v>
      </c>
      <c r="B75" s="4" t="s">
        <v>150</v>
      </c>
      <c r="C75" s="4" t="s">
        <v>101</v>
      </c>
      <c r="D75" s="4" t="s">
        <v>59</v>
      </c>
      <c r="E75" s="4" t="s">
        <v>92</v>
      </c>
      <c r="F75" s="7" t="n">
        <v>102.658401863174</v>
      </c>
      <c r="G75" s="7" t="n">
        <v>45.7422178466797</v>
      </c>
      <c r="H75" s="7" t="n">
        <v>12.0376990064375</v>
      </c>
      <c r="I75" s="7" t="n">
        <v>69.7860244963522</v>
      </c>
      <c r="J75" s="7" t="n">
        <v>28.3429002420407</v>
      </c>
      <c r="K75" s="7" t="n">
        <v>14.1175001084032</v>
      </c>
      <c r="L75" s="7" t="n">
        <v>21.7180304478437</v>
      </c>
      <c r="M75" s="7" t="n">
        <v>13.2851545005829</v>
      </c>
      <c r="N75" s="7" t="n">
        <v>46.2791983154297</v>
      </c>
      <c r="O75" s="7" t="n">
        <v>8.19959763590839</v>
      </c>
      <c r="P75" s="7" t="n">
        <v>4.30513708827488</v>
      </c>
      <c r="Q75" s="7" t="n">
        <v>17.6630060852051</v>
      </c>
      <c r="R75" s="7" t="n">
        <v>22.259348059082</v>
      </c>
      <c r="S75" s="7" t="n">
        <v>20.4819715270996</v>
      </c>
      <c r="T75" s="7" t="n">
        <v>0.1018155146055</v>
      </c>
      <c r="U75" s="7" t="n">
        <v>0.522117631325165</v>
      </c>
      <c r="V75" s="7" t="n">
        <v>1.33076276082802</v>
      </c>
      <c r="W75" s="7" t="n">
        <v>0.905661210190763</v>
      </c>
      <c r="X75" s="7" t="n">
        <v>0.079763776172801</v>
      </c>
      <c r="Y75" s="7" t="n">
        <v>3.01528366221477</v>
      </c>
      <c r="Z75" s="7" t="n">
        <v>0.629178064692593</v>
      </c>
      <c r="AA75" s="7" t="n">
        <v>0.664997118901794</v>
      </c>
      <c r="AB75" s="7" t="n">
        <v>1.29759388800412</v>
      </c>
    </row>
    <row r="76" customFormat="false" ht="15" hidden="false" customHeight="false" outlineLevel="0" collapsed="false">
      <c r="A76" s="4" t="s">
        <v>149</v>
      </c>
      <c r="B76" s="4" t="s">
        <v>150</v>
      </c>
      <c r="C76" s="4" t="s">
        <v>101</v>
      </c>
      <c r="D76" s="4" t="s">
        <v>59</v>
      </c>
      <c r="E76" s="4" t="s">
        <v>93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</row>
    <row r="77" customFormat="false" ht="15" hidden="false" customHeight="false" outlineLevel="0" collapsed="false">
      <c r="A77" s="4" t="s">
        <v>151</v>
      </c>
      <c r="B77" s="4" t="s">
        <v>152</v>
      </c>
      <c r="C77" s="4" t="s">
        <v>101</v>
      </c>
      <c r="D77" s="4" t="s">
        <v>63</v>
      </c>
      <c r="E77" s="4" t="s">
        <v>91</v>
      </c>
      <c r="F77" s="7" t="n">
        <v>234.430070888863</v>
      </c>
      <c r="G77" s="7" t="n">
        <v>194.705737369457</v>
      </c>
      <c r="H77" s="7" t="n">
        <v>140.320757106359</v>
      </c>
      <c r="I77" s="7" t="n">
        <v>587.982203699236</v>
      </c>
      <c r="J77" s="7" t="n">
        <v>2111.73935569622</v>
      </c>
      <c r="K77" s="7" t="n">
        <v>1981.82814346208</v>
      </c>
      <c r="L77" s="7" t="n">
        <v>763.927061058542</v>
      </c>
      <c r="M77" s="7" t="n">
        <v>1322.11443516266</v>
      </c>
      <c r="N77" s="7" t="n">
        <v>1424.85266785168</v>
      </c>
      <c r="O77" s="7" t="n">
        <v>1560.24609684321</v>
      </c>
      <c r="P77" s="7" t="n">
        <v>11718.1803066429</v>
      </c>
      <c r="Q77" s="7" t="n">
        <v>13465.5370415177</v>
      </c>
      <c r="R77" s="7" t="n">
        <v>10375.4159555901</v>
      </c>
      <c r="S77" s="7" t="n">
        <v>6905.0899166923</v>
      </c>
      <c r="T77" s="7" t="n">
        <v>7820.71729526708</v>
      </c>
      <c r="U77" s="7" t="n">
        <v>11134.674792311</v>
      </c>
      <c r="V77" s="7" t="n">
        <v>19084.4634925334</v>
      </c>
      <c r="W77" s="7" t="n">
        <v>13622.3516592901</v>
      </c>
      <c r="X77" s="7" t="n">
        <v>14433.5229246549</v>
      </c>
      <c r="Y77" s="7" t="n">
        <v>13873.5474890308</v>
      </c>
      <c r="Z77" s="7" t="n">
        <v>16676.0586396054</v>
      </c>
      <c r="AA77" s="7" t="n">
        <v>17307.3887977161</v>
      </c>
      <c r="AB77" s="7" t="n">
        <v>15792.3263056812</v>
      </c>
    </row>
    <row r="78" customFormat="false" ht="15" hidden="false" customHeight="false" outlineLevel="0" collapsed="false">
      <c r="A78" s="4" t="s">
        <v>151</v>
      </c>
      <c r="B78" s="4" t="s">
        <v>152</v>
      </c>
      <c r="C78" s="4" t="s">
        <v>101</v>
      </c>
      <c r="D78" s="4" t="s">
        <v>63</v>
      </c>
      <c r="E78" s="4" t="s">
        <v>92</v>
      </c>
      <c r="F78" s="7" t="n">
        <v>6299.89238655341</v>
      </c>
      <c r="G78" s="7" t="n">
        <v>7016.54074590049</v>
      </c>
      <c r="H78" s="7" t="n">
        <v>3660.61848542945</v>
      </c>
      <c r="I78" s="7" t="n">
        <v>3906.58900190889</v>
      </c>
      <c r="J78" s="7" t="n">
        <v>4600.35513665335</v>
      </c>
      <c r="K78" s="7" t="n">
        <v>5323.06999264333</v>
      </c>
      <c r="L78" s="7" t="n">
        <v>4345.71996553568</v>
      </c>
      <c r="M78" s="7" t="n">
        <v>3903.08697994172</v>
      </c>
      <c r="N78" s="7" t="n">
        <v>2577.64567215766</v>
      </c>
      <c r="O78" s="7" t="n">
        <v>1528.59293083767</v>
      </c>
      <c r="P78" s="7" t="n">
        <v>1112.93661849096</v>
      </c>
      <c r="Q78" s="7" t="n">
        <v>1094.95888025794</v>
      </c>
      <c r="R78" s="7" t="n">
        <v>837.564555950299</v>
      </c>
      <c r="S78" s="7" t="n">
        <v>1853.98977867339</v>
      </c>
      <c r="T78" s="7" t="n">
        <v>48.2064217728359</v>
      </c>
      <c r="U78" s="7" t="n">
        <v>142.074373009379</v>
      </c>
      <c r="V78" s="7" t="n">
        <v>377.490815067406</v>
      </c>
      <c r="W78" s="7" t="n">
        <v>543.740190565483</v>
      </c>
      <c r="X78" s="7" t="n">
        <v>2300.56696900885</v>
      </c>
      <c r="Y78" s="7" t="n">
        <v>3022.44329427477</v>
      </c>
      <c r="Z78" s="7" t="n">
        <v>4457.28096686962</v>
      </c>
      <c r="AA78" s="7" t="n">
        <v>2099.65436665847</v>
      </c>
      <c r="AB78" s="7" t="n">
        <v>3095.86983844164</v>
      </c>
    </row>
    <row r="79" customFormat="false" ht="15" hidden="false" customHeight="false" outlineLevel="0" collapsed="false">
      <c r="A79" s="4" t="s">
        <v>151</v>
      </c>
      <c r="B79" s="4" t="s">
        <v>152</v>
      </c>
      <c r="C79" s="4" t="s">
        <v>101</v>
      </c>
      <c r="D79" s="4" t="s">
        <v>63</v>
      </c>
      <c r="E79" s="4" t="s">
        <v>93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</row>
    <row r="80" customFormat="false" ht="15" hidden="false" customHeight="false" outlineLevel="0" collapsed="false">
      <c r="A80" s="4" t="s">
        <v>33</v>
      </c>
      <c r="B80" s="4" t="s">
        <v>34</v>
      </c>
      <c r="C80" s="4" t="s">
        <v>112</v>
      </c>
      <c r="D80" s="4" t="s">
        <v>33</v>
      </c>
      <c r="E80" s="4" t="s">
        <v>91</v>
      </c>
      <c r="F80" s="7" t="n">
        <v>5787.69280591339</v>
      </c>
      <c r="G80" s="7" t="n">
        <v>3898.21567244872</v>
      </c>
      <c r="H80" s="7" t="n">
        <v>2453.03054142733</v>
      </c>
      <c r="I80" s="7" t="n">
        <v>4113.26174117375</v>
      </c>
      <c r="J80" s="7" t="n">
        <v>4720.4917005798</v>
      </c>
      <c r="K80" s="7" t="n">
        <v>4110.92805204141</v>
      </c>
      <c r="L80" s="7" t="n">
        <v>3187.71044781567</v>
      </c>
      <c r="M80" s="7" t="n">
        <v>4896.2392142148</v>
      </c>
      <c r="N80" s="7" t="n">
        <v>5496.92418493559</v>
      </c>
      <c r="O80" s="7" t="n">
        <v>16793.1144695683</v>
      </c>
      <c r="P80" s="7" t="n">
        <v>15391.3493680792</v>
      </c>
      <c r="Q80" s="7" t="n">
        <v>33764.2855558836</v>
      </c>
      <c r="R80" s="7" t="n">
        <v>20730.828769891</v>
      </c>
      <c r="S80" s="7" t="n">
        <v>24156.6702041322</v>
      </c>
      <c r="T80" s="7" t="n">
        <v>20140.3824739427</v>
      </c>
      <c r="U80" s="7" t="n">
        <v>21685.1438592899</v>
      </c>
      <c r="V80" s="7" t="n">
        <v>9251.31715950482</v>
      </c>
      <c r="W80" s="7" t="n">
        <v>3908.433070043</v>
      </c>
      <c r="X80" s="7" t="n">
        <v>1022.47627270621</v>
      </c>
      <c r="Y80" s="7" t="n">
        <v>0</v>
      </c>
      <c r="Z80" s="7" t="n">
        <v>0</v>
      </c>
      <c r="AA80" s="7" t="n">
        <v>0</v>
      </c>
      <c r="AB80" s="7" t="n">
        <v>0</v>
      </c>
    </row>
    <row r="81" customFormat="false" ht="15" hidden="false" customHeight="false" outlineLevel="0" collapsed="false">
      <c r="A81" s="4" t="s">
        <v>33</v>
      </c>
      <c r="B81" s="4" t="s">
        <v>34</v>
      </c>
      <c r="C81" s="4" t="s">
        <v>112</v>
      </c>
      <c r="D81" s="4" t="s">
        <v>33</v>
      </c>
      <c r="E81" s="4" t="s">
        <v>92</v>
      </c>
      <c r="F81" s="7" t="n">
        <v>11734.5837720402</v>
      </c>
      <c r="G81" s="7" t="n">
        <v>14234.9972998208</v>
      </c>
      <c r="H81" s="7" t="n">
        <v>7371.53660542073</v>
      </c>
      <c r="I81" s="7" t="n">
        <v>14321.1745233936</v>
      </c>
      <c r="J81" s="7" t="n">
        <v>0</v>
      </c>
      <c r="K81" s="7" t="n">
        <v>14186.1885489142</v>
      </c>
      <c r="L81" s="7" t="n">
        <v>10036.0216906733</v>
      </c>
      <c r="M81" s="7" t="n">
        <v>10148.0283052314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2409.40439641116</v>
      </c>
      <c r="V81" s="7" t="n">
        <v>6690.33662622996</v>
      </c>
      <c r="W81" s="7" t="n">
        <v>7177.1033617258</v>
      </c>
      <c r="X81" s="7" t="n">
        <v>7783.67687559435</v>
      </c>
      <c r="Y81" s="7" t="n">
        <v>7274.3453887654</v>
      </c>
      <c r="Z81" s="7" t="n">
        <v>7687.85251938856</v>
      </c>
      <c r="AA81" s="7" t="n">
        <v>5326.4819065654</v>
      </c>
      <c r="AB81" s="7" t="n">
        <v>3236.82463854397</v>
      </c>
    </row>
    <row r="82" customFormat="false" ht="15" hidden="false" customHeight="false" outlineLevel="0" collapsed="false">
      <c r="A82" s="4" t="s">
        <v>33</v>
      </c>
      <c r="B82" s="4" t="s">
        <v>34</v>
      </c>
      <c r="C82" s="4" t="s">
        <v>112</v>
      </c>
      <c r="D82" s="4" t="s">
        <v>33</v>
      </c>
      <c r="E82" s="4" t="s">
        <v>93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</row>
    <row r="83" customFormat="false" ht="15" hidden="false" customHeight="false" outlineLevel="0" collapsed="false">
      <c r="A83" s="4" t="s">
        <v>153</v>
      </c>
      <c r="B83" s="4" t="s">
        <v>154</v>
      </c>
      <c r="C83" s="4" t="s">
        <v>104</v>
      </c>
      <c r="D83" s="4" t="s">
        <v>41</v>
      </c>
      <c r="E83" s="4" t="s">
        <v>91</v>
      </c>
      <c r="F83" s="7" t="n">
        <v>87.8667402071461</v>
      </c>
      <c r="G83" s="7" t="n">
        <v>50.4338860410106</v>
      </c>
      <c r="H83" s="7" t="n">
        <v>48.4820971237655</v>
      </c>
      <c r="I83" s="7" t="n">
        <v>197.867426473341</v>
      </c>
      <c r="J83" s="7" t="n">
        <v>102.668379475529</v>
      </c>
      <c r="K83" s="7" t="n">
        <v>97.6421498573692</v>
      </c>
      <c r="L83" s="7" t="n">
        <v>7.85061276245117</v>
      </c>
      <c r="M83" s="7" t="n">
        <v>9.87789903564454</v>
      </c>
      <c r="N83" s="7" t="n">
        <v>11.0387739878935</v>
      </c>
      <c r="O83" s="7" t="n">
        <v>50.5087964356794</v>
      </c>
      <c r="P83" s="7" t="n">
        <v>8.53583074498793</v>
      </c>
      <c r="Q83" s="7" t="n">
        <v>7.92645399169922</v>
      </c>
      <c r="R83" s="7" t="n">
        <v>2.41783161621094</v>
      </c>
      <c r="S83" s="7" t="n">
        <v>3.21633674926758</v>
      </c>
      <c r="T83" s="7" t="n">
        <v>36.0132937866211</v>
      </c>
      <c r="U83" s="7" t="n">
        <v>73.1927021611472</v>
      </c>
      <c r="V83" s="7" t="n">
        <v>157.638738864172</v>
      </c>
      <c r="W83" s="7" t="n">
        <v>95.0154495222264</v>
      </c>
      <c r="X83" s="7" t="n">
        <v>93.2729038214231</v>
      </c>
      <c r="Y83" s="7" t="n">
        <v>32.8391990316714</v>
      </c>
      <c r="Z83" s="7" t="n">
        <v>72.8370773376465</v>
      </c>
      <c r="AA83" s="7" t="n">
        <v>32.9797607490569</v>
      </c>
      <c r="AB83" s="7" t="n">
        <v>41.5817901911157</v>
      </c>
    </row>
    <row r="84" customFormat="false" ht="15" hidden="false" customHeight="false" outlineLevel="0" collapsed="false">
      <c r="A84" s="4" t="s">
        <v>153</v>
      </c>
      <c r="B84" s="4" t="s">
        <v>154</v>
      </c>
      <c r="C84" s="4" t="s">
        <v>104</v>
      </c>
      <c r="D84" s="4" t="s">
        <v>41</v>
      </c>
      <c r="E84" s="4" t="s">
        <v>92</v>
      </c>
      <c r="F84" s="7" t="n">
        <v>14.4563114940592</v>
      </c>
      <c r="G84" s="7" t="n">
        <v>9.3056196654654</v>
      </c>
      <c r="H84" s="7" t="n">
        <v>1.43890436994432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39.0068829234163</v>
      </c>
      <c r="Z84" s="7" t="n">
        <v>0</v>
      </c>
      <c r="AA84" s="7" t="n">
        <v>10.6987815115895</v>
      </c>
      <c r="AB84" s="7" t="n">
        <v>7.93021171787245</v>
      </c>
    </row>
    <row r="85" customFormat="false" ht="15" hidden="false" customHeight="false" outlineLevel="0" collapsed="false">
      <c r="A85" s="4" t="s">
        <v>153</v>
      </c>
      <c r="B85" s="4" t="s">
        <v>154</v>
      </c>
      <c r="C85" s="4" t="s">
        <v>104</v>
      </c>
      <c r="D85" s="4" t="s">
        <v>41</v>
      </c>
      <c r="E85" s="4" t="s">
        <v>93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</row>
    <row r="86" customFormat="false" ht="15" hidden="false" customHeight="false" outlineLevel="0" collapsed="false">
      <c r="A86" s="4" t="s">
        <v>155</v>
      </c>
      <c r="B86" s="4" t="s">
        <v>156</v>
      </c>
      <c r="C86" s="4" t="s">
        <v>107</v>
      </c>
      <c r="D86" s="4" t="s">
        <v>79</v>
      </c>
      <c r="E86" s="4" t="s">
        <v>91</v>
      </c>
      <c r="F86" s="7" t="n">
        <v>35.5197793640137</v>
      </c>
      <c r="G86" s="7" t="n">
        <v>67.2035492431641</v>
      </c>
      <c r="H86" s="7" t="n">
        <v>132.185838958741</v>
      </c>
      <c r="I86" s="7" t="n">
        <v>22.2886341101074</v>
      </c>
      <c r="J86" s="7" t="n">
        <v>72.4221537658691</v>
      </c>
      <c r="K86" s="7" t="n">
        <v>8166.11584307933</v>
      </c>
      <c r="L86" s="7" t="n">
        <v>7788.63107337866</v>
      </c>
      <c r="M86" s="7" t="n">
        <v>11046.9232137475</v>
      </c>
      <c r="N86" s="7" t="n">
        <v>5445.95410021269</v>
      </c>
      <c r="O86" s="7" t="n">
        <v>4788.71898404137</v>
      </c>
      <c r="P86" s="7" t="n">
        <v>3253.33228675817</v>
      </c>
      <c r="Q86" s="7" t="n">
        <v>8315.2770876358</v>
      </c>
      <c r="R86" s="7" t="n">
        <v>7157.69157787899</v>
      </c>
      <c r="S86" s="7" t="n">
        <v>8780.78624491967</v>
      </c>
      <c r="T86" s="7" t="n">
        <v>76.0216543701172</v>
      </c>
      <c r="U86" s="7" t="n">
        <v>44.3845165344238</v>
      </c>
      <c r="V86" s="7" t="n">
        <v>43.260463494873</v>
      </c>
      <c r="W86" s="7" t="n">
        <v>3806.14169912467</v>
      </c>
      <c r="X86" s="7" t="n">
        <v>16.1432219116211</v>
      </c>
      <c r="Y86" s="7" t="n">
        <v>2745.81713796978</v>
      </c>
      <c r="Z86" s="7" t="n">
        <v>0.551910290527344</v>
      </c>
      <c r="AA86" s="7" t="n">
        <v>2772.92785528113</v>
      </c>
      <c r="AB86" s="7" t="n">
        <v>518.859039589028</v>
      </c>
    </row>
    <row r="87" customFormat="false" ht="15" hidden="false" customHeight="false" outlineLevel="0" collapsed="false">
      <c r="A87" s="4" t="s">
        <v>155</v>
      </c>
      <c r="B87" s="4" t="s">
        <v>156</v>
      </c>
      <c r="C87" s="4" t="s">
        <v>107</v>
      </c>
      <c r="D87" s="4" t="s">
        <v>79</v>
      </c>
      <c r="E87" s="4" t="s">
        <v>92</v>
      </c>
      <c r="F87" s="7" t="n">
        <v>3109.44831306354</v>
      </c>
      <c r="G87" s="7" t="n">
        <v>2805.40988031118</v>
      </c>
      <c r="H87" s="7" t="n">
        <v>3347.42522689821</v>
      </c>
      <c r="I87" s="7" t="n">
        <v>3583.5997823888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2963.72014699891</v>
      </c>
      <c r="AA87" s="7" t="n">
        <v>735.370488304182</v>
      </c>
      <c r="AB87" s="7" t="n">
        <v>220.3809587644</v>
      </c>
    </row>
    <row r="88" customFormat="false" ht="15" hidden="false" customHeight="false" outlineLevel="0" collapsed="false">
      <c r="A88" s="4" t="s">
        <v>155</v>
      </c>
      <c r="B88" s="4" t="s">
        <v>156</v>
      </c>
      <c r="C88" s="4" t="s">
        <v>107</v>
      </c>
      <c r="D88" s="4" t="s">
        <v>79</v>
      </c>
      <c r="E88" s="4" t="s">
        <v>93</v>
      </c>
      <c r="F88" s="7" t="n">
        <v>6658.14143817688</v>
      </c>
      <c r="G88" s="7" t="n">
        <v>8648.15130223754</v>
      </c>
      <c r="H88" s="7" t="n">
        <v>7875.71043139796</v>
      </c>
      <c r="I88" s="7" t="n">
        <v>7280.02125035353</v>
      </c>
      <c r="J88" s="7" t="n">
        <v>10155.3728721055</v>
      </c>
      <c r="K88" s="7" t="n">
        <v>7559.92317125014</v>
      </c>
      <c r="L88" s="7" t="n">
        <v>11607.3343865612</v>
      </c>
      <c r="M88" s="7" t="n">
        <v>10615.2077641876</v>
      </c>
      <c r="N88" s="7" t="n">
        <v>8168.91036699165</v>
      </c>
      <c r="O88" s="7" t="n">
        <v>9010.94299131425</v>
      </c>
      <c r="P88" s="7" t="n">
        <v>12100.4524416849</v>
      </c>
      <c r="Q88" s="7" t="n">
        <v>17679.6571728772</v>
      </c>
      <c r="R88" s="7" t="n">
        <v>13714.5072593734</v>
      </c>
      <c r="S88" s="7" t="n">
        <v>16009.7287722816</v>
      </c>
      <c r="T88" s="7" t="n">
        <v>15903.4647222444</v>
      </c>
      <c r="U88" s="7" t="n">
        <v>19379.2886292282</v>
      </c>
      <c r="V88" s="7" t="n">
        <v>40537.4251532871</v>
      </c>
      <c r="W88" s="7" t="n">
        <v>16812.477137619</v>
      </c>
      <c r="X88" s="7" t="n">
        <v>19992.1614243137</v>
      </c>
      <c r="Y88" s="7" t="n">
        <v>15002.8173697457</v>
      </c>
      <c r="Z88" s="7" t="n">
        <v>16731.2377253997</v>
      </c>
      <c r="AA88" s="7" t="n">
        <v>13111.7352613856</v>
      </c>
      <c r="AB88" s="7" t="n">
        <v>30613.493923264</v>
      </c>
    </row>
    <row r="89" customFormat="false" ht="15" hidden="false" customHeight="false" outlineLevel="0" collapsed="false">
      <c r="A89" s="4" t="s">
        <v>49</v>
      </c>
      <c r="B89" s="4" t="s">
        <v>157</v>
      </c>
      <c r="C89" s="4" t="s">
        <v>158</v>
      </c>
      <c r="D89" s="4" t="s">
        <v>49</v>
      </c>
      <c r="E89" s="4" t="s">
        <v>91</v>
      </c>
      <c r="F89" s="7" t="n">
        <v>20752.8964321413</v>
      </c>
      <c r="G89" s="7" t="n">
        <v>23113.5347879481</v>
      </c>
      <c r="H89" s="7" t="n">
        <v>20480.4819287065</v>
      </c>
      <c r="I89" s="7" t="n">
        <v>32372.9471006666</v>
      </c>
      <c r="J89" s="7" t="n">
        <v>32019.4952751621</v>
      </c>
      <c r="K89" s="7" t="n">
        <v>43691.4690716251</v>
      </c>
      <c r="L89" s="7" t="n">
        <v>46855.833254221</v>
      </c>
      <c r="M89" s="7" t="n">
        <v>24735.3926651517</v>
      </c>
      <c r="N89" s="7" t="n">
        <v>16276.2035021024</v>
      </c>
      <c r="O89" s="7" t="n">
        <v>14982.5901098509</v>
      </c>
      <c r="P89" s="7" t="n">
        <v>13577.8622726343</v>
      </c>
      <c r="Q89" s="7" t="n">
        <v>19309.0671625312</v>
      </c>
      <c r="R89" s="7" t="n">
        <v>9206.09822526731</v>
      </c>
      <c r="S89" s="7" t="n">
        <v>11996.0234434713</v>
      </c>
      <c r="T89" s="7" t="n">
        <v>12001.3540098985</v>
      </c>
      <c r="U89" s="7" t="n">
        <v>30533.5102327548</v>
      </c>
      <c r="V89" s="7" t="n">
        <v>40156.6753448702</v>
      </c>
      <c r="W89" s="7" t="n">
        <v>31591.6189862138</v>
      </c>
      <c r="X89" s="7" t="n">
        <v>28335.1243365285</v>
      </c>
      <c r="Y89" s="7" t="n">
        <v>18939.7605580089</v>
      </c>
      <c r="Z89" s="7" t="n">
        <v>17916.8953534913</v>
      </c>
      <c r="AA89" s="7" t="n">
        <v>22246.7216875763</v>
      </c>
      <c r="AB89" s="7" t="n">
        <v>23707.3308565647</v>
      </c>
    </row>
    <row r="90" customFormat="false" ht="15" hidden="false" customHeight="false" outlineLevel="0" collapsed="false">
      <c r="A90" s="4" t="s">
        <v>49</v>
      </c>
      <c r="B90" s="4" t="s">
        <v>157</v>
      </c>
      <c r="C90" s="4" t="s">
        <v>158</v>
      </c>
      <c r="D90" s="4" t="s">
        <v>49</v>
      </c>
      <c r="E90" s="4" t="s">
        <v>92</v>
      </c>
      <c r="F90" s="7" t="n">
        <v>8306.82640009948</v>
      </c>
      <c r="G90" s="7" t="n">
        <v>10037.2706004777</v>
      </c>
      <c r="H90" s="7" t="n">
        <v>8564.74898103759</v>
      </c>
      <c r="I90" s="7" t="n">
        <v>12589.0830173631</v>
      </c>
      <c r="J90" s="7" t="n">
        <v>9122.0942274404</v>
      </c>
      <c r="K90" s="7" t="n">
        <v>13874.4417808151</v>
      </c>
      <c r="L90" s="7" t="n">
        <v>25880.6513701011</v>
      </c>
      <c r="M90" s="7" t="n">
        <v>33701.4253659524</v>
      </c>
      <c r="N90" s="7" t="n">
        <v>58577.910113004</v>
      </c>
      <c r="O90" s="7" t="n">
        <v>56875.9192511361</v>
      </c>
      <c r="P90" s="7" t="n">
        <v>50495.7054759761</v>
      </c>
      <c r="Q90" s="7" t="n">
        <v>63331.1051111719</v>
      </c>
      <c r="R90" s="7" t="n">
        <v>36898.2875567685</v>
      </c>
      <c r="S90" s="7" t="n">
        <v>48422.6533487606</v>
      </c>
      <c r="T90" s="7" t="n">
        <v>44511.3635025177</v>
      </c>
      <c r="U90" s="7" t="n">
        <v>59191.8599562494</v>
      </c>
      <c r="V90" s="7" t="n">
        <v>49285.1420865848</v>
      </c>
      <c r="W90" s="7" t="n">
        <v>40239.3119534097</v>
      </c>
      <c r="X90" s="7" t="n">
        <v>26600.6322418057</v>
      </c>
      <c r="Y90" s="7" t="n">
        <v>20725.9754223605</v>
      </c>
      <c r="Z90" s="7" t="n">
        <v>19224.814671932</v>
      </c>
      <c r="AA90" s="7" t="n">
        <v>22547.1545838492</v>
      </c>
      <c r="AB90" s="7" t="n">
        <v>26739.7398291288</v>
      </c>
    </row>
    <row r="91" customFormat="false" ht="15" hidden="false" customHeight="false" outlineLevel="0" collapsed="false">
      <c r="A91" s="4" t="s">
        <v>49</v>
      </c>
      <c r="B91" s="4" t="s">
        <v>157</v>
      </c>
      <c r="C91" s="4" t="s">
        <v>158</v>
      </c>
      <c r="D91" s="4" t="s">
        <v>49</v>
      </c>
      <c r="E91" s="4" t="s">
        <v>93</v>
      </c>
      <c r="F91" s="7" t="n">
        <v>121065.002968401</v>
      </c>
      <c r="G91" s="7" t="n">
        <v>124334.311411654</v>
      </c>
      <c r="H91" s="7" t="n">
        <v>105378.776484951</v>
      </c>
      <c r="I91" s="7" t="n">
        <v>243749.621124558</v>
      </c>
      <c r="J91" s="7" t="n">
        <v>212511.78926855</v>
      </c>
      <c r="K91" s="7" t="n">
        <v>286830.049674152</v>
      </c>
      <c r="L91" s="7" t="n">
        <v>330646.000000003</v>
      </c>
      <c r="M91" s="7" t="n">
        <v>272084.666666667</v>
      </c>
      <c r="N91" s="7" t="n">
        <v>213523.333333333</v>
      </c>
      <c r="O91" s="7" t="n">
        <v>154962.000000003</v>
      </c>
      <c r="P91" s="7" t="n">
        <v>154962</v>
      </c>
      <c r="Q91" s="7" t="n">
        <v>154962</v>
      </c>
      <c r="R91" s="7" t="n">
        <v>226867.999999998</v>
      </c>
      <c r="S91" s="7" t="n">
        <v>333895.658663828</v>
      </c>
      <c r="T91" s="7" t="n">
        <v>308460.083595124</v>
      </c>
      <c r="U91" s="7" t="n">
        <v>439102.343450342</v>
      </c>
      <c r="V91" s="7" t="n">
        <v>381492.450651875</v>
      </c>
      <c r="W91" s="7" t="n">
        <v>352499.511390068</v>
      </c>
      <c r="X91" s="7" t="n">
        <v>299195.214706848</v>
      </c>
      <c r="Y91" s="7" t="n">
        <v>264523.053545926</v>
      </c>
      <c r="Z91" s="7" t="n">
        <v>364796.133903245</v>
      </c>
      <c r="AA91" s="7" t="n">
        <v>427596.761452335</v>
      </c>
      <c r="AB91" s="7" t="n">
        <v>393716.371138609</v>
      </c>
    </row>
    <row r="92" customFormat="false" ht="15" hidden="false" customHeight="false" outlineLevel="0" collapsed="false">
      <c r="A92" s="4" t="s">
        <v>159</v>
      </c>
      <c r="B92" s="4" t="s">
        <v>160</v>
      </c>
      <c r="C92" s="4" t="s">
        <v>101</v>
      </c>
      <c r="D92" s="4" t="s">
        <v>67</v>
      </c>
      <c r="E92" s="4" t="s">
        <v>91</v>
      </c>
      <c r="F92" s="7" t="n">
        <v>107848.881308502</v>
      </c>
      <c r="G92" s="7" t="n">
        <v>130731.505049327</v>
      </c>
      <c r="H92" s="7" t="n">
        <v>79229.1409607716</v>
      </c>
      <c r="I92" s="7" t="n">
        <v>51309.8706037461</v>
      </c>
      <c r="J92" s="7" t="n">
        <v>72159.4430906292</v>
      </c>
      <c r="K92" s="7" t="n">
        <v>75929.9247798123</v>
      </c>
      <c r="L92" s="7" t="n">
        <v>38537.6977269037</v>
      </c>
      <c r="M92" s="7" t="n">
        <v>48408.2527540045</v>
      </c>
      <c r="N92" s="7" t="n">
        <v>106992.461081903</v>
      </c>
      <c r="O92" s="7" t="n">
        <v>95437.875374027</v>
      </c>
      <c r="P92" s="7" t="n">
        <v>126868.87977569</v>
      </c>
      <c r="Q92" s="7" t="n">
        <v>97451.5692179029</v>
      </c>
      <c r="R92" s="7" t="n">
        <v>194706.223093986</v>
      </c>
      <c r="S92" s="7" t="n">
        <v>372156.729645302</v>
      </c>
      <c r="T92" s="7" t="n">
        <v>167501.826209345</v>
      </c>
      <c r="U92" s="7" t="n">
        <v>244617.68443328</v>
      </c>
      <c r="V92" s="7" t="n">
        <v>401792.931320076</v>
      </c>
      <c r="W92" s="7" t="n">
        <v>67602.1791901787</v>
      </c>
      <c r="X92" s="7" t="n">
        <v>266001.879399199</v>
      </c>
      <c r="Y92" s="7" t="n">
        <v>274109.819351477</v>
      </c>
      <c r="Z92" s="7" t="n">
        <v>208544.03572086</v>
      </c>
      <c r="AA92" s="7" t="n">
        <v>191025.853451379</v>
      </c>
      <c r="AB92" s="7" t="n">
        <v>215464.412258299</v>
      </c>
    </row>
    <row r="93" customFormat="false" ht="15" hidden="false" customHeight="false" outlineLevel="0" collapsed="false">
      <c r="A93" s="4" t="s">
        <v>159</v>
      </c>
      <c r="B93" s="4" t="s">
        <v>160</v>
      </c>
      <c r="C93" s="4" t="s">
        <v>101</v>
      </c>
      <c r="D93" s="4" t="s">
        <v>67</v>
      </c>
      <c r="E93" s="4" t="s">
        <v>92</v>
      </c>
      <c r="F93" s="7" t="n">
        <v>15869.6090785564</v>
      </c>
      <c r="G93" s="7" t="n">
        <v>16577.886835015</v>
      </c>
      <c r="H93" s="7" t="n">
        <v>7647.72735353713</v>
      </c>
      <c r="I93" s="7" t="n">
        <v>260.150307434251</v>
      </c>
      <c r="J93" s="7" t="n">
        <v>605.032065880828</v>
      </c>
      <c r="K93" s="7" t="n">
        <v>2197.59379256817</v>
      </c>
      <c r="L93" s="7" t="n">
        <v>3398.85994228075</v>
      </c>
      <c r="M93" s="7" t="n">
        <v>3424.25962583693</v>
      </c>
      <c r="N93" s="7" t="n">
        <v>479.807221520276</v>
      </c>
      <c r="O93" s="7" t="n">
        <v>114.181278709268</v>
      </c>
      <c r="P93" s="7" t="n">
        <v>69.9984656469268</v>
      </c>
      <c r="Q93" s="7" t="n">
        <v>86.6597552193298</v>
      </c>
      <c r="R93" s="7" t="n">
        <v>471.997486378375</v>
      </c>
      <c r="S93" s="7" t="n">
        <v>1711.87822489126</v>
      </c>
      <c r="T93" s="7" t="n">
        <v>966.391779868556</v>
      </c>
      <c r="U93" s="7" t="n">
        <v>2204.53093548604</v>
      </c>
      <c r="V93" s="7" t="n">
        <v>8490.99228878097</v>
      </c>
      <c r="W93" s="7" t="n">
        <v>11945.6411000348</v>
      </c>
      <c r="X93" s="7" t="n">
        <v>8254.3420202984</v>
      </c>
      <c r="Y93" s="7" t="n">
        <v>3922.3176278705</v>
      </c>
      <c r="Z93" s="7" t="n">
        <v>2644.2316607645</v>
      </c>
      <c r="AA93" s="7" t="n">
        <v>2178.65257653257</v>
      </c>
      <c r="AB93" s="7" t="n">
        <v>2973.65312366266</v>
      </c>
    </row>
    <row r="94" customFormat="false" ht="15" hidden="false" customHeight="false" outlineLevel="0" collapsed="false">
      <c r="A94" s="4" t="s">
        <v>159</v>
      </c>
      <c r="B94" s="4" t="s">
        <v>160</v>
      </c>
      <c r="C94" s="4" t="s">
        <v>101</v>
      </c>
      <c r="D94" s="4" t="s">
        <v>67</v>
      </c>
      <c r="E94" s="4" t="s">
        <v>93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</row>
    <row r="95" customFormat="false" ht="15" hidden="false" customHeight="false" outlineLevel="0" collapsed="false">
      <c r="A95" s="4" t="s">
        <v>161</v>
      </c>
      <c r="B95" s="4" t="s">
        <v>162</v>
      </c>
      <c r="C95" s="4" t="s">
        <v>101</v>
      </c>
      <c r="D95" s="4" t="s">
        <v>67</v>
      </c>
      <c r="E95" s="4" t="s">
        <v>91</v>
      </c>
      <c r="F95" s="7" t="n">
        <v>24256.3283658416</v>
      </c>
      <c r="G95" s="7" t="n">
        <v>22307.2314394758</v>
      </c>
      <c r="H95" s="7" t="n">
        <v>18798.0921080447</v>
      </c>
      <c r="I95" s="7" t="n">
        <v>5505.53336465847</v>
      </c>
      <c r="J95" s="7" t="n">
        <v>20074.2204250785</v>
      </c>
      <c r="K95" s="7" t="n">
        <v>31077.8737075409</v>
      </c>
      <c r="L95" s="7" t="n">
        <v>44570.0073233204</v>
      </c>
      <c r="M95" s="7" t="n">
        <v>33230.5219691845</v>
      </c>
      <c r="N95" s="7" t="n">
        <v>28633.1017189993</v>
      </c>
      <c r="O95" s="7" t="n">
        <v>19846.8315349583</v>
      </c>
      <c r="P95" s="7" t="n">
        <v>3408.00345663599</v>
      </c>
      <c r="Q95" s="7" t="n">
        <v>5401.27181886983</v>
      </c>
      <c r="R95" s="7" t="n">
        <v>4534.71439751103</v>
      </c>
      <c r="S95" s="7" t="n">
        <v>15750.1812541997</v>
      </c>
      <c r="T95" s="7" t="n">
        <v>24116.2299920222</v>
      </c>
      <c r="U95" s="7" t="n">
        <v>45937.4327763472</v>
      </c>
      <c r="V95" s="7" t="n">
        <v>59334.6870624404</v>
      </c>
      <c r="W95" s="7" t="n">
        <v>59568.1402243543</v>
      </c>
      <c r="X95" s="7" t="n">
        <v>50125.1933346235</v>
      </c>
      <c r="Y95" s="7" t="n">
        <v>41188.958553522</v>
      </c>
      <c r="Z95" s="7" t="n">
        <v>44247.8604440782</v>
      </c>
      <c r="AA95" s="7" t="n">
        <v>50423.4027207131</v>
      </c>
      <c r="AB95" s="7" t="n">
        <v>45286.7405727711</v>
      </c>
    </row>
    <row r="96" customFormat="false" ht="15" hidden="false" customHeight="false" outlineLevel="0" collapsed="false">
      <c r="A96" s="4" t="s">
        <v>161</v>
      </c>
      <c r="B96" s="4" t="s">
        <v>162</v>
      </c>
      <c r="C96" s="4" t="s">
        <v>101</v>
      </c>
      <c r="D96" s="4" t="s">
        <v>67</v>
      </c>
      <c r="E96" s="4" t="s">
        <v>92</v>
      </c>
      <c r="F96" s="7" t="n">
        <v>7499.71023312468</v>
      </c>
      <c r="G96" s="7" t="n">
        <v>5184.88652803424</v>
      </c>
      <c r="H96" s="7" t="n">
        <v>4177.10589382216</v>
      </c>
      <c r="I96" s="7" t="n">
        <v>4329.44253630075</v>
      </c>
      <c r="J96" s="7" t="n">
        <v>3158.97191973919</v>
      </c>
      <c r="K96" s="7" t="n">
        <v>3290.42335321001</v>
      </c>
      <c r="L96" s="7" t="n">
        <v>1284.71415095729</v>
      </c>
      <c r="M96" s="7" t="n">
        <v>1156.1661966014</v>
      </c>
      <c r="N96" s="7" t="n">
        <v>1459.23295051276</v>
      </c>
      <c r="O96" s="7" t="n">
        <v>7986.2854977078</v>
      </c>
      <c r="P96" s="7" t="n">
        <v>7540.80210674637</v>
      </c>
      <c r="Q96" s="7" t="n">
        <v>7862.32477860796</v>
      </c>
      <c r="R96" s="7" t="n">
        <v>6075.83981118153</v>
      </c>
      <c r="S96" s="7" t="n">
        <v>6242.15429694239</v>
      </c>
      <c r="T96" s="7" t="n">
        <v>4289.65327621931</v>
      </c>
      <c r="U96" s="7" t="n">
        <v>9597.02917288379</v>
      </c>
      <c r="V96" s="7" t="n">
        <v>12745.3041552714</v>
      </c>
      <c r="W96" s="7" t="n">
        <v>12741.858867236</v>
      </c>
      <c r="X96" s="7" t="n">
        <v>9209.73773188055</v>
      </c>
      <c r="Y96" s="7" t="n">
        <v>7277.44472741417</v>
      </c>
      <c r="Z96" s="7" t="n">
        <v>8866.88899303611</v>
      </c>
      <c r="AA96" s="7" t="n">
        <v>12039.1859979548</v>
      </c>
      <c r="AB96" s="7" t="n">
        <v>9394.5065728017</v>
      </c>
    </row>
    <row r="97" customFormat="false" ht="15" hidden="false" customHeight="false" outlineLevel="0" collapsed="false">
      <c r="A97" s="4" t="s">
        <v>161</v>
      </c>
      <c r="B97" s="4" t="s">
        <v>162</v>
      </c>
      <c r="C97" s="4" t="s">
        <v>101</v>
      </c>
      <c r="D97" s="4" t="s">
        <v>67</v>
      </c>
      <c r="E97" s="4" t="s">
        <v>93</v>
      </c>
      <c r="F97" s="7" t="n">
        <v>1113.57889983721</v>
      </c>
      <c r="G97" s="7" t="n">
        <v>1283.95795036819</v>
      </c>
      <c r="H97" s="7" t="n">
        <v>709.514648991992</v>
      </c>
      <c r="I97" s="7" t="n">
        <v>682.895536945921</v>
      </c>
      <c r="J97" s="7" t="n">
        <v>1099.54030976986</v>
      </c>
      <c r="K97" s="7" t="n">
        <v>1085.21485106252</v>
      </c>
      <c r="L97" s="7" t="n">
        <v>983.137841650487</v>
      </c>
      <c r="M97" s="7" t="n">
        <v>1283.91877750474</v>
      </c>
      <c r="N97" s="7" t="n">
        <v>2000</v>
      </c>
      <c r="O97" s="7" t="n">
        <v>2000</v>
      </c>
      <c r="P97" s="7" t="n">
        <v>946.416187511841</v>
      </c>
      <c r="Q97" s="7" t="n">
        <v>1604.50986322149</v>
      </c>
      <c r="R97" s="7" t="n">
        <v>2000</v>
      </c>
      <c r="S97" s="7" t="n">
        <v>2000</v>
      </c>
      <c r="T97" s="7" t="n">
        <v>2000</v>
      </c>
      <c r="U97" s="7" t="n">
        <v>2000</v>
      </c>
      <c r="V97" s="7" t="n">
        <v>2000</v>
      </c>
      <c r="W97" s="7" t="n">
        <v>2000</v>
      </c>
      <c r="X97" s="7" t="n">
        <v>2000</v>
      </c>
      <c r="Y97" s="7" t="n">
        <v>2000</v>
      </c>
      <c r="Z97" s="7" t="n">
        <v>2000</v>
      </c>
      <c r="AA97" s="7" t="n">
        <v>2000.00000000001</v>
      </c>
      <c r="AB97" s="7" t="n">
        <v>2000</v>
      </c>
    </row>
    <row r="98" customFormat="false" ht="15" hidden="false" customHeight="false" outlineLevel="0" collapsed="false">
      <c r="A98" s="4" t="s">
        <v>163</v>
      </c>
      <c r="B98" s="4" t="s">
        <v>164</v>
      </c>
      <c r="C98" s="4" t="s">
        <v>101</v>
      </c>
      <c r="D98" s="4" t="s">
        <v>65</v>
      </c>
      <c r="E98" s="4" t="s">
        <v>91</v>
      </c>
      <c r="F98" s="7" t="n">
        <v>42819.3544321928</v>
      </c>
      <c r="G98" s="7" t="n">
        <v>71414.3333333333</v>
      </c>
      <c r="H98" s="7" t="n">
        <v>53138.0039069413</v>
      </c>
      <c r="I98" s="7" t="n">
        <v>34318.9187049028</v>
      </c>
      <c r="J98" s="7" t="n">
        <v>17558.2291725174</v>
      </c>
      <c r="K98" s="7" t="n">
        <v>395409</v>
      </c>
      <c r="L98" s="7" t="n">
        <v>437333.703519877</v>
      </c>
      <c r="M98" s="7" t="n">
        <v>390627.116617014</v>
      </c>
      <c r="N98" s="7" t="n">
        <v>616343.133561126</v>
      </c>
      <c r="O98" s="7" t="n">
        <v>788611.333333333</v>
      </c>
      <c r="P98" s="7" t="n">
        <v>410987.375870479</v>
      </c>
      <c r="Q98" s="7" t="n">
        <v>554535</v>
      </c>
      <c r="R98" s="7" t="n">
        <v>443451.666666667</v>
      </c>
      <c r="S98" s="7" t="n">
        <v>400743.333333333</v>
      </c>
      <c r="T98" s="7" t="n">
        <v>437037.333333333</v>
      </c>
      <c r="U98" s="7" t="n">
        <v>457091.666666667</v>
      </c>
      <c r="V98" s="7" t="n">
        <v>269903.253620528</v>
      </c>
      <c r="W98" s="7" t="n">
        <v>163270.132622804</v>
      </c>
      <c r="X98" s="7" t="n">
        <v>357132.594107031</v>
      </c>
      <c r="Y98" s="7" t="n">
        <v>459327.666666667</v>
      </c>
      <c r="Z98" s="7" t="n">
        <v>661870</v>
      </c>
      <c r="AA98" s="7" t="n">
        <v>457381</v>
      </c>
      <c r="AB98" s="7" t="n">
        <v>526192.222222222</v>
      </c>
    </row>
    <row r="99" customFormat="false" ht="15" hidden="false" customHeight="false" outlineLevel="0" collapsed="false">
      <c r="A99" s="4" t="s">
        <v>163</v>
      </c>
      <c r="B99" s="4" t="s">
        <v>164</v>
      </c>
      <c r="C99" s="4" t="s">
        <v>101</v>
      </c>
      <c r="D99" s="4" t="s">
        <v>65</v>
      </c>
      <c r="E99" s="4" t="s">
        <v>92</v>
      </c>
      <c r="F99" s="7" t="n">
        <v>49580.8967255126</v>
      </c>
      <c r="G99" s="7" t="n">
        <v>48253.8258747656</v>
      </c>
      <c r="H99" s="7" t="n">
        <v>61422.3866151446</v>
      </c>
      <c r="I99" s="7" t="n">
        <v>75252.3200523398</v>
      </c>
      <c r="J99" s="7" t="n">
        <v>65872.380148643</v>
      </c>
      <c r="K99" s="7" t="n">
        <v>49579.3750258911</v>
      </c>
      <c r="L99" s="7" t="n">
        <v>14395.269550276</v>
      </c>
      <c r="M99" s="7" t="n">
        <v>7727.80972195181</v>
      </c>
      <c r="N99" s="7" t="n">
        <v>8426.46978647897</v>
      </c>
      <c r="O99" s="7" t="n">
        <v>10095.5998215508</v>
      </c>
      <c r="P99" s="7" t="n">
        <v>4614.21634017067</v>
      </c>
      <c r="Q99" s="7" t="n">
        <v>14672.0609783853</v>
      </c>
      <c r="R99" s="7" t="n">
        <v>13531.8289767471</v>
      </c>
      <c r="S99" s="7" t="n">
        <v>32007.19619896</v>
      </c>
      <c r="T99" s="7" t="n">
        <v>32437.1569995034</v>
      </c>
      <c r="U99" s="7" t="n">
        <v>51388.1223289912</v>
      </c>
      <c r="V99" s="7" t="n">
        <v>56742.5445516702</v>
      </c>
      <c r="W99" s="7" t="n">
        <v>58520.7613898458</v>
      </c>
      <c r="X99" s="7" t="n">
        <v>50523.0421969472</v>
      </c>
      <c r="Y99" s="7" t="n">
        <v>40337.4862968752</v>
      </c>
      <c r="Z99" s="7" t="n">
        <v>42814.8539046485</v>
      </c>
      <c r="AA99" s="7" t="n">
        <v>51089.6860522445</v>
      </c>
      <c r="AB99" s="7" t="n">
        <v>44747.3420845894</v>
      </c>
    </row>
    <row r="100" customFormat="false" ht="15" hidden="false" customHeight="false" outlineLevel="0" collapsed="false">
      <c r="A100" s="4" t="s">
        <v>163</v>
      </c>
      <c r="B100" s="4" t="s">
        <v>164</v>
      </c>
      <c r="C100" s="4" t="s">
        <v>101</v>
      </c>
      <c r="D100" s="4" t="s">
        <v>65</v>
      </c>
      <c r="E100" s="4" t="s">
        <v>93</v>
      </c>
      <c r="F100" s="7" t="n">
        <v>99.9999999999976</v>
      </c>
      <c r="G100" s="7" t="n">
        <v>99.9999999999976</v>
      </c>
      <c r="H100" s="7" t="n">
        <v>100.000000000002</v>
      </c>
      <c r="I100" s="7" t="n">
        <v>100.000000000002</v>
      </c>
      <c r="J100" s="7" t="n">
        <v>100</v>
      </c>
      <c r="K100" s="7" t="n">
        <v>99.9999999999976</v>
      </c>
      <c r="L100" s="7" t="n">
        <v>99.9999999999976</v>
      </c>
      <c r="M100" s="7" t="n">
        <v>66.6666666666667</v>
      </c>
      <c r="N100" s="7" t="n">
        <v>33.3333333333333</v>
      </c>
      <c r="O100" s="7" t="n">
        <v>68.6682125732422</v>
      </c>
      <c r="P100" s="7" t="n">
        <v>13.9194323181152</v>
      </c>
      <c r="Q100" s="7" t="n">
        <v>81.7414285766602</v>
      </c>
      <c r="R100" s="7" t="n">
        <v>108.732356286621</v>
      </c>
      <c r="S100" s="7" t="n">
        <v>214.619694036865</v>
      </c>
      <c r="T100" s="7" t="n">
        <v>100.660541033936</v>
      </c>
      <c r="U100" s="7" t="n">
        <v>180.556515234375</v>
      </c>
      <c r="V100" s="7" t="n">
        <v>229.695620422364</v>
      </c>
      <c r="W100" s="7" t="n">
        <v>93.054891772461</v>
      </c>
      <c r="X100" s="7" t="n">
        <v>120.963632696533</v>
      </c>
      <c r="Y100" s="7" t="n">
        <v>116.119499176026</v>
      </c>
      <c r="Z100" s="7" t="n">
        <v>66.672015600586</v>
      </c>
      <c r="AA100" s="7" t="n">
        <v>162.486101800537</v>
      </c>
      <c r="AB100" s="7" t="n">
        <v>123.19130269165</v>
      </c>
    </row>
    <row r="101" customFormat="false" ht="15" hidden="false" customHeight="false" outlineLevel="0" collapsed="false">
      <c r="A101" s="4" t="s">
        <v>165</v>
      </c>
      <c r="B101" s="4" t="s">
        <v>166</v>
      </c>
      <c r="C101" s="4" t="s">
        <v>101</v>
      </c>
      <c r="D101" s="4" t="s">
        <v>65</v>
      </c>
      <c r="E101" s="4" t="s">
        <v>91</v>
      </c>
      <c r="F101" s="7" t="n">
        <v>2976.05390259008</v>
      </c>
      <c r="G101" s="7" t="n">
        <v>3026.54394441835</v>
      </c>
      <c r="H101" s="7" t="n">
        <v>2057.54827520913</v>
      </c>
      <c r="I101" s="7" t="n">
        <v>1348.11356834096</v>
      </c>
      <c r="J101" s="7" t="n">
        <v>1572.6905481878</v>
      </c>
      <c r="K101" s="7" t="n">
        <v>2489.83626058329</v>
      </c>
      <c r="L101" s="7" t="n">
        <v>3539.89330465155</v>
      </c>
      <c r="M101" s="7" t="n">
        <v>2570.09972797839</v>
      </c>
      <c r="N101" s="7" t="n">
        <v>3216.95632796244</v>
      </c>
      <c r="O101" s="7" t="n">
        <v>6811.72005472528</v>
      </c>
      <c r="P101" s="7" t="n">
        <v>3997.50225691677</v>
      </c>
      <c r="Q101" s="7" t="n">
        <v>4253.11022054737</v>
      </c>
      <c r="R101" s="7" t="n">
        <v>3589.52420644909</v>
      </c>
      <c r="S101" s="7" t="n">
        <v>5580.66666666667</v>
      </c>
      <c r="T101" s="7" t="n">
        <v>3755.2513823926</v>
      </c>
      <c r="U101" s="7" t="n">
        <v>7095.26163551951</v>
      </c>
      <c r="V101" s="7" t="n">
        <v>7494.66666666667</v>
      </c>
      <c r="W101" s="7" t="n">
        <v>6733.07399601275</v>
      </c>
      <c r="X101" s="7" t="n">
        <v>7048</v>
      </c>
      <c r="Y101" s="7" t="n">
        <v>6270.33333333333</v>
      </c>
      <c r="Z101" s="7" t="n">
        <v>1419.5</v>
      </c>
      <c r="AA101" s="7" t="n">
        <v>4252</v>
      </c>
      <c r="AB101" s="7" t="n">
        <v>4701.61111111111</v>
      </c>
    </row>
    <row r="102" customFormat="false" ht="15" hidden="false" customHeight="false" outlineLevel="0" collapsed="false">
      <c r="A102" s="4" t="s">
        <v>165</v>
      </c>
      <c r="B102" s="4" t="s">
        <v>166</v>
      </c>
      <c r="C102" s="4" t="s">
        <v>101</v>
      </c>
      <c r="D102" s="4" t="s">
        <v>65</v>
      </c>
      <c r="E102" s="4" t="s">
        <v>92</v>
      </c>
      <c r="F102" s="7" t="n">
        <v>1755.05876378596</v>
      </c>
      <c r="G102" s="7" t="n">
        <v>1191.08100420764</v>
      </c>
      <c r="H102" s="7" t="n">
        <v>908.964340884528</v>
      </c>
      <c r="I102" s="7" t="n">
        <v>621.839406452505</v>
      </c>
      <c r="J102" s="7" t="n">
        <v>771.546114585092</v>
      </c>
      <c r="K102" s="7" t="n">
        <v>765.95646087897</v>
      </c>
      <c r="L102" s="7" t="n">
        <v>852.578791022858</v>
      </c>
      <c r="M102" s="7" t="n">
        <v>497.95734837123</v>
      </c>
      <c r="N102" s="7" t="n">
        <v>559.20987247132</v>
      </c>
      <c r="O102" s="7" t="n">
        <v>976.713231278603</v>
      </c>
      <c r="P102" s="7" t="n">
        <v>911.100318659167</v>
      </c>
      <c r="Q102" s="7" t="n">
        <v>1544.23587309705</v>
      </c>
      <c r="R102" s="7" t="n">
        <v>3287.36862152628</v>
      </c>
      <c r="S102" s="7" t="n">
        <v>3397.86746354966</v>
      </c>
      <c r="T102" s="7" t="n">
        <v>1300.00838197235</v>
      </c>
      <c r="U102" s="7" t="n">
        <v>2027.5516677206</v>
      </c>
      <c r="V102" s="7" t="n">
        <v>2588.23913014321</v>
      </c>
      <c r="W102" s="7" t="n">
        <v>1715.64874723892</v>
      </c>
      <c r="X102" s="7" t="n">
        <v>3230.59161739847</v>
      </c>
      <c r="Y102" s="7" t="n">
        <v>2906.07476965694</v>
      </c>
      <c r="Z102" s="7" t="n">
        <v>6810.37257779259</v>
      </c>
      <c r="AA102" s="7" t="n">
        <v>4493.72072563708</v>
      </c>
      <c r="AB102" s="7" t="n">
        <v>4495.95977469862</v>
      </c>
    </row>
    <row r="103" customFormat="false" ht="15" hidden="false" customHeight="false" outlineLevel="0" collapsed="false">
      <c r="A103" s="4" t="s">
        <v>165</v>
      </c>
      <c r="B103" s="4" t="s">
        <v>166</v>
      </c>
      <c r="C103" s="4" t="s">
        <v>101</v>
      </c>
      <c r="D103" s="4" t="s">
        <v>65</v>
      </c>
      <c r="E103" s="4" t="s">
        <v>93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</row>
    <row r="104" customFormat="false" ht="15" hidden="false" customHeight="false" outlineLevel="0" collapsed="false">
      <c r="A104" s="4" t="s">
        <v>167</v>
      </c>
      <c r="B104" s="4" t="s">
        <v>168</v>
      </c>
      <c r="C104" s="4" t="s">
        <v>107</v>
      </c>
      <c r="D104" s="4" t="s">
        <v>79</v>
      </c>
      <c r="E104" s="4" t="s">
        <v>91</v>
      </c>
      <c r="F104" s="7" t="n">
        <v>4349.39690017396</v>
      </c>
      <c r="G104" s="7" t="n">
        <v>5622.42389078697</v>
      </c>
      <c r="H104" s="7" t="n">
        <v>3302.24354644596</v>
      </c>
      <c r="I104" s="7" t="n">
        <v>6798.73732868193</v>
      </c>
      <c r="J104" s="7" t="n">
        <v>5741.705330837</v>
      </c>
      <c r="K104" s="7" t="n">
        <v>9968.96593985974</v>
      </c>
      <c r="L104" s="7" t="n">
        <v>7815.63739880522</v>
      </c>
      <c r="M104" s="7" t="n">
        <v>72972.6666666667</v>
      </c>
      <c r="N104" s="7" t="n">
        <v>66209.7721520406</v>
      </c>
      <c r="O104" s="7" t="n">
        <v>11065.2149660125</v>
      </c>
      <c r="P104" s="7" t="n">
        <v>9581.61541807855</v>
      </c>
      <c r="Q104" s="7" t="n">
        <v>14258.5678950611</v>
      </c>
      <c r="R104" s="7" t="n">
        <v>45909.0244493331</v>
      </c>
      <c r="S104" s="7" t="n">
        <v>67835.0861791695</v>
      </c>
      <c r="T104" s="7" t="n">
        <v>50516.1625494528</v>
      </c>
      <c r="U104" s="7" t="n">
        <v>91763.8038819568</v>
      </c>
      <c r="V104" s="7" t="n">
        <v>133490.666666667</v>
      </c>
      <c r="W104" s="7" t="n">
        <v>118733.255924221</v>
      </c>
      <c r="X104" s="7" t="n">
        <v>94106.4406744267</v>
      </c>
      <c r="Y104" s="7" t="n">
        <v>115672.333333333</v>
      </c>
      <c r="Z104" s="7" t="n">
        <v>102368.267293927</v>
      </c>
      <c r="AA104" s="7" t="n">
        <v>106901.177971107</v>
      </c>
      <c r="AB104" s="7" t="n">
        <v>50778.7643546786</v>
      </c>
    </row>
    <row r="105" customFormat="false" ht="15" hidden="false" customHeight="false" outlineLevel="0" collapsed="false">
      <c r="A105" s="4" t="s">
        <v>167</v>
      </c>
      <c r="B105" s="4" t="s">
        <v>168</v>
      </c>
      <c r="C105" s="4" t="s">
        <v>107</v>
      </c>
      <c r="D105" s="4" t="s">
        <v>79</v>
      </c>
      <c r="E105" s="4" t="s">
        <v>92</v>
      </c>
      <c r="F105" s="7" t="n">
        <v>64002.9240813601</v>
      </c>
      <c r="G105" s="7" t="n">
        <v>80527.4793336075</v>
      </c>
      <c r="H105" s="7" t="n">
        <v>47617.1722746282</v>
      </c>
      <c r="I105" s="7" t="n">
        <v>123883.112700995</v>
      </c>
      <c r="J105" s="7" t="n">
        <v>90531.0230629468</v>
      </c>
      <c r="K105" s="7" t="n">
        <v>83381.6471247249</v>
      </c>
      <c r="L105" s="7" t="n">
        <v>137871.236875397</v>
      </c>
      <c r="M105" s="7" t="n">
        <v>55604.190833105</v>
      </c>
      <c r="N105" s="7" t="n">
        <v>51510.5518458819</v>
      </c>
      <c r="O105" s="7" t="n">
        <v>91485.0068548198</v>
      </c>
      <c r="P105" s="7" t="n">
        <v>92789.0941948423</v>
      </c>
      <c r="Q105" s="7" t="n">
        <v>89432.9475835225</v>
      </c>
      <c r="R105" s="7" t="n">
        <v>31898.4286139179</v>
      </c>
      <c r="S105" s="7" t="n">
        <v>45444.9172536183</v>
      </c>
      <c r="T105" s="7" t="n">
        <v>28438.6047134047</v>
      </c>
      <c r="U105" s="7" t="n">
        <v>51509.3013628938</v>
      </c>
      <c r="V105" s="7" t="n">
        <v>89089.048171081</v>
      </c>
      <c r="W105" s="7" t="n">
        <v>103497.620668697</v>
      </c>
      <c r="X105" s="7" t="n">
        <v>54383.0489753271</v>
      </c>
      <c r="Y105" s="7" t="n">
        <v>86930.4982013684</v>
      </c>
      <c r="Z105" s="7" t="n">
        <v>60750.6483527969</v>
      </c>
      <c r="AA105" s="7" t="n">
        <v>57326.5601881415</v>
      </c>
      <c r="AB105" s="7" t="n">
        <v>16691.8990508401</v>
      </c>
    </row>
    <row r="106" customFormat="false" ht="15" hidden="false" customHeight="false" outlineLevel="0" collapsed="false">
      <c r="A106" s="4" t="s">
        <v>167</v>
      </c>
      <c r="B106" s="4" t="s">
        <v>168</v>
      </c>
      <c r="C106" s="4" t="s">
        <v>107</v>
      </c>
      <c r="D106" s="4" t="s">
        <v>79</v>
      </c>
      <c r="E106" s="4" t="s">
        <v>93</v>
      </c>
      <c r="F106" s="7" t="n">
        <v>102.411255472661</v>
      </c>
      <c r="G106" s="7" t="n">
        <v>73.8860162164071</v>
      </c>
      <c r="H106" s="7" t="n">
        <v>50.7907974166299</v>
      </c>
      <c r="I106" s="7" t="n">
        <v>122.604979735189</v>
      </c>
      <c r="J106" s="7" t="n">
        <v>187.104464754677</v>
      </c>
      <c r="K106" s="7" t="n">
        <v>158.63933377596</v>
      </c>
      <c r="L106" s="7" t="n">
        <v>144.251658881518</v>
      </c>
      <c r="M106" s="7" t="n">
        <v>271.426925225345</v>
      </c>
      <c r="N106" s="7" t="n">
        <v>297.778948088691</v>
      </c>
      <c r="O106" s="7" t="n">
        <v>260.174193334699</v>
      </c>
      <c r="P106" s="7" t="n">
        <v>303.466883564216</v>
      </c>
      <c r="Q106" s="7" t="n">
        <v>632.709616120158</v>
      </c>
      <c r="R106" s="7" t="n">
        <v>569.791847658536</v>
      </c>
      <c r="S106" s="7" t="n">
        <v>727.148662418157</v>
      </c>
      <c r="T106" s="7" t="n">
        <v>496.860136524549</v>
      </c>
      <c r="U106" s="7" t="n">
        <v>897.180789044144</v>
      </c>
      <c r="V106" s="7" t="n">
        <v>925.055280615785</v>
      </c>
      <c r="W106" s="7" t="n">
        <v>731.763526646585</v>
      </c>
      <c r="X106" s="7" t="n">
        <v>944.580577928969</v>
      </c>
      <c r="Y106" s="7" t="n">
        <v>790.322577913938</v>
      </c>
      <c r="Z106" s="7" t="n">
        <v>481.177543051878</v>
      </c>
      <c r="AA106" s="7" t="n">
        <v>362.668014756266</v>
      </c>
      <c r="AB106" s="7" t="n">
        <v>465.730033331826</v>
      </c>
    </row>
    <row r="107" customFormat="false" ht="15" hidden="false" customHeight="false" outlineLevel="0" collapsed="false">
      <c r="A107" s="4" t="s">
        <v>169</v>
      </c>
      <c r="B107" s="4" t="s">
        <v>170</v>
      </c>
      <c r="C107" s="4" t="s">
        <v>101</v>
      </c>
      <c r="D107" s="4" t="s">
        <v>61</v>
      </c>
      <c r="E107" s="4" t="s">
        <v>91</v>
      </c>
      <c r="F107" s="7" t="n">
        <v>1.20824681367762</v>
      </c>
      <c r="G107" s="7" t="n">
        <v>1.88278285522461</v>
      </c>
      <c r="H107" s="7" t="n">
        <v>1.05399864501953</v>
      </c>
      <c r="I107" s="7" t="n">
        <v>0.954676610486207</v>
      </c>
      <c r="J107" s="7" t="n">
        <v>2.99159219656611</v>
      </c>
      <c r="K107" s="7" t="n">
        <v>0.57652390977539</v>
      </c>
      <c r="L107" s="7" t="n">
        <v>0.505814387024763</v>
      </c>
      <c r="M107" s="7" t="n">
        <v>0.134902418776443</v>
      </c>
      <c r="N107" s="7" t="n">
        <v>0.28869299722724</v>
      </c>
      <c r="O107" s="7" t="n">
        <v>0.348602641183096</v>
      </c>
      <c r="P107" s="7" t="n">
        <v>0.445499675224067</v>
      </c>
      <c r="Q107" s="7" t="n">
        <v>1.12858140543194</v>
      </c>
      <c r="R107" s="7" t="n">
        <v>15.1288924678654</v>
      </c>
      <c r="S107" s="7" t="n">
        <v>21.7481781476816</v>
      </c>
      <c r="T107" s="7" t="n">
        <v>8.43794363526236</v>
      </c>
      <c r="U107" s="7" t="n">
        <v>0.730547866889819</v>
      </c>
      <c r="V107" s="7" t="n">
        <v>0.225602978515625</v>
      </c>
      <c r="W107" s="7" t="n">
        <v>1.05300195922852</v>
      </c>
      <c r="X107" s="7" t="n">
        <v>1.49427761307284</v>
      </c>
      <c r="Y107" s="7" t="n">
        <v>4.78948802340286</v>
      </c>
      <c r="Z107" s="7" t="n">
        <v>5.17757424562867</v>
      </c>
      <c r="AA107" s="7" t="n">
        <v>6.33759738021062</v>
      </c>
      <c r="AB107" s="7" t="n">
        <v>3.66434706924251</v>
      </c>
    </row>
    <row r="108" customFormat="false" ht="15" hidden="false" customHeight="false" outlineLevel="0" collapsed="false">
      <c r="A108" s="4" t="s">
        <v>169</v>
      </c>
      <c r="B108" s="4" t="s">
        <v>170</v>
      </c>
      <c r="C108" s="4" t="s">
        <v>101</v>
      </c>
      <c r="D108" s="4" t="s">
        <v>61</v>
      </c>
      <c r="E108" s="4" t="s">
        <v>92</v>
      </c>
      <c r="F108" s="7" t="n">
        <v>0</v>
      </c>
      <c r="G108" s="7" t="n">
        <v>0</v>
      </c>
      <c r="H108" s="7" t="n">
        <v>0</v>
      </c>
      <c r="I108" s="7" t="n">
        <v>0.476558655627074</v>
      </c>
      <c r="J108" s="7" t="n">
        <v>2.65840625314092</v>
      </c>
      <c r="K108" s="7" t="n">
        <v>0.616402361886107</v>
      </c>
      <c r="L108" s="7" t="n">
        <v>3.33560402117836</v>
      </c>
      <c r="M108" s="7" t="n">
        <v>1.44714241154582</v>
      </c>
      <c r="N108" s="7" t="n">
        <v>5.36181458333917</v>
      </c>
      <c r="O108" s="7" t="n">
        <v>3.87002699748878</v>
      </c>
      <c r="P108" s="7" t="n">
        <v>3.70030024543023</v>
      </c>
      <c r="Q108" s="7" t="n">
        <v>5.72345379354267</v>
      </c>
      <c r="R108" s="7" t="n">
        <v>40.6363534189738</v>
      </c>
      <c r="S108" s="7" t="n">
        <v>48.1167479226356</v>
      </c>
      <c r="T108" s="7" t="n">
        <v>19.194738743888</v>
      </c>
      <c r="U108" s="7" t="n">
        <v>7.09467095024886</v>
      </c>
      <c r="V108" s="7" t="n">
        <v>16.0312176940918</v>
      </c>
      <c r="W108" s="7" t="n">
        <v>13.7650099121094</v>
      </c>
      <c r="X108" s="7" t="n">
        <v>5.35869523848966</v>
      </c>
      <c r="Y108" s="7" t="n">
        <v>8.31584995877487</v>
      </c>
      <c r="Z108" s="7" t="n">
        <v>6.64055572263305</v>
      </c>
      <c r="AA108" s="7" t="n">
        <v>8.34681100601985</v>
      </c>
      <c r="AB108" s="7" t="n">
        <v>5.21987959701726</v>
      </c>
    </row>
    <row r="109" customFormat="false" ht="15" hidden="false" customHeight="false" outlineLevel="0" collapsed="false">
      <c r="A109" s="4" t="s">
        <v>169</v>
      </c>
      <c r="B109" s="4" t="s">
        <v>170</v>
      </c>
      <c r="C109" s="4" t="s">
        <v>101</v>
      </c>
      <c r="D109" s="4" t="s">
        <v>61</v>
      </c>
      <c r="E109" s="4" t="s">
        <v>93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</row>
    <row r="110" customFormat="false" ht="15" hidden="false" customHeight="false" outlineLevel="0" collapsed="false">
      <c r="A110" s="4" t="s">
        <v>171</v>
      </c>
      <c r="B110" s="4" t="s">
        <v>172</v>
      </c>
      <c r="C110" s="4" t="s">
        <v>101</v>
      </c>
      <c r="D110" s="4" t="s">
        <v>57</v>
      </c>
      <c r="E110" s="4" t="s">
        <v>91</v>
      </c>
      <c r="F110" s="7" t="n">
        <v>4.50831602970524</v>
      </c>
      <c r="G110" s="7" t="n">
        <v>18.4865065022818</v>
      </c>
      <c r="H110" s="7" t="n">
        <v>7.05994861959218</v>
      </c>
      <c r="I110" s="7" t="n">
        <v>0</v>
      </c>
      <c r="J110" s="7" t="n">
        <v>3.4250151766396</v>
      </c>
      <c r="K110" s="7" t="n">
        <v>3.87854908528648</v>
      </c>
      <c r="L110" s="7" t="n">
        <v>0.280720617543176</v>
      </c>
      <c r="M110" s="7" t="n">
        <v>0.170990347476323</v>
      </c>
      <c r="N110" s="7" t="n">
        <v>5.98517903837729</v>
      </c>
      <c r="O110" s="7" t="n">
        <v>0.559884309490638</v>
      </c>
      <c r="P110" s="7" t="n">
        <v>2.96965111078757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0.134756161036112</v>
      </c>
      <c r="X110" s="7" t="n">
        <v>0.0345027048867657</v>
      </c>
      <c r="Y110" s="7" t="n">
        <v>0.507116991765371</v>
      </c>
      <c r="Z110" s="7" t="n">
        <v>0</v>
      </c>
      <c r="AA110" s="7" t="n">
        <v>0</v>
      </c>
      <c r="AB110" s="7" t="n">
        <v>0</v>
      </c>
    </row>
    <row r="111" customFormat="false" ht="15" hidden="false" customHeight="false" outlineLevel="0" collapsed="false">
      <c r="A111" s="4" t="s">
        <v>171</v>
      </c>
      <c r="B111" s="4" t="s">
        <v>172</v>
      </c>
      <c r="C111" s="4" t="s">
        <v>101</v>
      </c>
      <c r="D111" s="4" t="s">
        <v>57</v>
      </c>
      <c r="E111" s="4" t="s">
        <v>92</v>
      </c>
      <c r="F111" s="7" t="n">
        <v>0</v>
      </c>
      <c r="G111" s="7" t="n">
        <v>0</v>
      </c>
      <c r="H111" s="7" t="n">
        <v>0</v>
      </c>
      <c r="I111" s="7" t="n">
        <v>0.38514050980264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3.04621603639031</v>
      </c>
      <c r="Q111" s="7" t="n">
        <v>3.04621603639031</v>
      </c>
      <c r="R111" s="7" t="n">
        <v>6.07938033323083</v>
      </c>
      <c r="S111" s="7" t="n">
        <v>2.3111316857461</v>
      </c>
      <c r="T111" s="7" t="n">
        <v>0</v>
      </c>
      <c r="U111" s="7" t="n">
        <v>0</v>
      </c>
      <c r="V111" s="7" t="n">
        <v>0</v>
      </c>
      <c r="W111" s="7" t="n">
        <v>0.139393786944317</v>
      </c>
      <c r="X111" s="7" t="n">
        <v>0.0398327199179218</v>
      </c>
      <c r="Y111" s="7" t="n">
        <v>1.27537956585182</v>
      </c>
      <c r="Z111" s="7" t="n">
        <v>0</v>
      </c>
      <c r="AA111" s="7" t="n">
        <v>0</v>
      </c>
      <c r="AB111" s="7" t="n">
        <v>0</v>
      </c>
    </row>
    <row r="112" customFormat="false" ht="15" hidden="false" customHeight="false" outlineLevel="0" collapsed="false">
      <c r="A112" s="4" t="s">
        <v>171</v>
      </c>
      <c r="B112" s="4" t="s">
        <v>172</v>
      </c>
      <c r="C112" s="4" t="s">
        <v>101</v>
      </c>
      <c r="D112" s="4" t="s">
        <v>57</v>
      </c>
      <c r="E112" s="4" t="s">
        <v>93</v>
      </c>
      <c r="F112" s="7" t="n">
        <v>0.249093223224445</v>
      </c>
      <c r="G112" s="7" t="n">
        <v>0.181063859046335</v>
      </c>
      <c r="H112" s="7" t="n">
        <v>0.154654181921487</v>
      </c>
      <c r="I112" s="7" t="n">
        <v>0.209991411584079</v>
      </c>
      <c r="J112" s="7" t="n">
        <v>0.205180123653365</v>
      </c>
      <c r="K112" s="7" t="n">
        <v>0.0624602225748552</v>
      </c>
      <c r="L112" s="7" t="n">
        <v>0.0155130860701048</v>
      </c>
      <c r="M112" s="7" t="n">
        <v>0.0514708097502397</v>
      </c>
      <c r="N112" s="7" t="n">
        <v>0.261425173048486</v>
      </c>
      <c r="O112" s="7" t="n">
        <v>0.182593199054284</v>
      </c>
      <c r="P112" s="7" t="n">
        <v>2.46317663544772</v>
      </c>
      <c r="Q112" s="7" t="n">
        <v>0.806226968209638</v>
      </c>
      <c r="R112" s="7" t="n">
        <v>0.869275159466045</v>
      </c>
      <c r="S112" s="7" t="n">
        <v>0.733495621382802</v>
      </c>
      <c r="T112" s="7" t="n">
        <v>0</v>
      </c>
      <c r="U112" s="7" t="n">
        <v>0</v>
      </c>
      <c r="V112" s="7" t="n">
        <v>0</v>
      </c>
      <c r="W112" s="7" t="n">
        <v>0.246667379900431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</row>
    <row r="113" customFormat="false" ht="15" hidden="false" customHeight="false" outlineLevel="0" collapsed="false">
      <c r="A113" s="4" t="s">
        <v>173</v>
      </c>
      <c r="B113" s="4" t="s">
        <v>174</v>
      </c>
      <c r="C113" s="4" t="s">
        <v>112</v>
      </c>
      <c r="D113" s="4" t="s">
        <v>79</v>
      </c>
      <c r="E113" s="4" t="s">
        <v>91</v>
      </c>
      <c r="F113" s="7" t="n">
        <v>9212.33333333333</v>
      </c>
      <c r="G113" s="7" t="n">
        <v>8436.41353680442</v>
      </c>
      <c r="H113" s="7" t="n">
        <v>7225.55951855309</v>
      </c>
      <c r="I113" s="7" t="n">
        <v>8604.45330406663</v>
      </c>
      <c r="J113" s="7" t="n">
        <v>10208.1612136558</v>
      </c>
      <c r="K113" s="7" t="n">
        <v>8768.58679998644</v>
      </c>
      <c r="L113" s="7" t="n">
        <v>10108.0036986674</v>
      </c>
      <c r="M113" s="7" t="n">
        <v>18608.4768348407</v>
      </c>
      <c r="N113" s="7" t="n">
        <v>14723.3333333333</v>
      </c>
      <c r="O113" s="7" t="n">
        <v>10131.6240681343</v>
      </c>
      <c r="P113" s="7" t="n">
        <v>7296.31572421723</v>
      </c>
      <c r="Q113" s="7" t="n">
        <v>6712.28239481262</v>
      </c>
      <c r="R113" s="7" t="n">
        <v>2119.09334534909</v>
      </c>
      <c r="S113" s="7" t="n">
        <v>524.267252267444</v>
      </c>
      <c r="T113" s="7" t="n">
        <v>116.159098379265</v>
      </c>
      <c r="U113" s="7" t="n">
        <v>3369.15332473204</v>
      </c>
      <c r="V113" s="7" t="n">
        <v>7706.33333333333</v>
      </c>
      <c r="W113" s="7" t="n">
        <v>5383.4662865927</v>
      </c>
      <c r="X113" s="7" t="n">
        <v>4010.78618905746</v>
      </c>
      <c r="Y113" s="7" t="n">
        <v>1630.59327851756</v>
      </c>
      <c r="Z113" s="7" t="n">
        <v>2206.28430845386</v>
      </c>
      <c r="AA113" s="7" t="n">
        <v>557.209858331548</v>
      </c>
      <c r="AB113" s="7" t="n">
        <v>1464.69581510099</v>
      </c>
    </row>
    <row r="114" customFormat="false" ht="15" hidden="false" customHeight="false" outlineLevel="0" collapsed="false">
      <c r="A114" s="4" t="s">
        <v>173</v>
      </c>
      <c r="B114" s="4" t="s">
        <v>174</v>
      </c>
      <c r="C114" s="4" t="s">
        <v>112</v>
      </c>
      <c r="D114" s="4" t="s">
        <v>79</v>
      </c>
      <c r="E114" s="4" t="s">
        <v>92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156.730534717896</v>
      </c>
      <c r="AB114" s="7" t="n">
        <v>52.2435115726321</v>
      </c>
    </row>
    <row r="115" customFormat="false" ht="15" hidden="false" customHeight="false" outlineLevel="0" collapsed="false">
      <c r="A115" s="4" t="s">
        <v>173</v>
      </c>
      <c r="B115" s="4" t="s">
        <v>174</v>
      </c>
      <c r="C115" s="4" t="s">
        <v>112</v>
      </c>
      <c r="D115" s="4" t="s">
        <v>79</v>
      </c>
      <c r="E115" s="4" t="s">
        <v>93</v>
      </c>
      <c r="F115" s="7" t="n">
        <v>43.9209691641789</v>
      </c>
      <c r="G115" s="7" t="n">
        <v>31.4587273470977</v>
      </c>
      <c r="H115" s="7" t="n">
        <v>39.353187557796</v>
      </c>
      <c r="I115" s="7" t="n">
        <v>20.8914123125333</v>
      </c>
      <c r="J115" s="7" t="n">
        <v>28.9195845951283</v>
      </c>
      <c r="K115" s="7" t="n">
        <v>12.449941783504</v>
      </c>
      <c r="L115" s="7" t="n">
        <v>54.8750872438362</v>
      </c>
      <c r="M115" s="7" t="n">
        <v>91.5527433217799</v>
      </c>
      <c r="N115" s="7" t="n">
        <v>96.8634273266028</v>
      </c>
      <c r="O115" s="7" t="n">
        <v>52.2289691964122</v>
      </c>
      <c r="P115" s="7" t="n">
        <v>45.6711683769354</v>
      </c>
      <c r="Q115" s="7" t="n">
        <v>31.7735065484136</v>
      </c>
      <c r="R115" s="7" t="n">
        <v>63.1985149939622</v>
      </c>
      <c r="S115" s="7" t="n">
        <v>65.2747882141113</v>
      </c>
      <c r="T115" s="7" t="n">
        <v>15.608825296583</v>
      </c>
      <c r="U115" s="7" t="n">
        <v>45.0365338063998</v>
      </c>
      <c r="V115" s="7" t="n">
        <v>178.162339144811</v>
      </c>
      <c r="W115" s="7" t="n">
        <v>26.9666675384397</v>
      </c>
      <c r="X115" s="7" t="n">
        <v>24.218398010155</v>
      </c>
      <c r="Y115" s="7" t="n">
        <v>34.8969401583529</v>
      </c>
      <c r="Z115" s="7" t="n">
        <v>94.8086417495588</v>
      </c>
      <c r="AA115" s="7" t="n">
        <v>74.3786335302716</v>
      </c>
      <c r="AB115" s="7" t="n">
        <v>58.2080468446452</v>
      </c>
    </row>
    <row r="116" customFormat="false" ht="15" hidden="false" customHeight="false" outlineLevel="0" collapsed="false">
      <c r="A116" s="4" t="s">
        <v>175</v>
      </c>
      <c r="B116" s="4" t="s">
        <v>176</v>
      </c>
      <c r="C116" s="4" t="s">
        <v>112</v>
      </c>
      <c r="D116" s="4" t="s">
        <v>79</v>
      </c>
      <c r="E116" s="4" t="s">
        <v>91</v>
      </c>
      <c r="F116" s="7" t="n">
        <v>3300.27280265386</v>
      </c>
      <c r="G116" s="7" t="n">
        <v>467.869222560365</v>
      </c>
      <c r="H116" s="7" t="n">
        <v>356.742437317397</v>
      </c>
      <c r="I116" s="7" t="n">
        <v>631.011571093654</v>
      </c>
      <c r="J116" s="7" t="n">
        <v>206.774048941555</v>
      </c>
      <c r="K116" s="7" t="n">
        <v>254.052798804214</v>
      </c>
      <c r="L116" s="7" t="n">
        <v>240.52562627202</v>
      </c>
      <c r="M116" s="7" t="n">
        <v>655.091751450028</v>
      </c>
      <c r="N116" s="7" t="n">
        <v>418.871314609758</v>
      </c>
      <c r="O116" s="7" t="n">
        <v>242.114665455155</v>
      </c>
      <c r="P116" s="7" t="n">
        <v>377.206042669295</v>
      </c>
      <c r="Q116" s="7" t="n">
        <v>396.384582770637</v>
      </c>
      <c r="R116" s="7" t="n">
        <v>423.889754423637</v>
      </c>
      <c r="S116" s="7" t="n">
        <v>850.772678874489</v>
      </c>
      <c r="T116" s="7" t="n">
        <v>700.275494465924</v>
      </c>
      <c r="U116" s="7" t="n">
        <v>3003.70310942477</v>
      </c>
      <c r="V116" s="7" t="n">
        <v>743.428943583937</v>
      </c>
      <c r="W116" s="7" t="n">
        <v>197.994208449133</v>
      </c>
      <c r="X116" s="7" t="n">
        <v>200.27567242385</v>
      </c>
      <c r="Y116" s="7" t="n">
        <v>246.10137449726</v>
      </c>
      <c r="Z116" s="7" t="n">
        <v>189.633454201322</v>
      </c>
      <c r="AA116" s="7" t="n">
        <v>59.6220950655068</v>
      </c>
      <c r="AB116" s="7" t="n">
        <v>259.26031750896</v>
      </c>
    </row>
    <row r="117" customFormat="false" ht="15" hidden="false" customHeight="false" outlineLevel="0" collapsed="false">
      <c r="A117" s="4" t="s">
        <v>175</v>
      </c>
      <c r="B117" s="4" t="s">
        <v>176</v>
      </c>
      <c r="C117" s="4" t="s">
        <v>112</v>
      </c>
      <c r="D117" s="4" t="s">
        <v>79</v>
      </c>
      <c r="E117" s="4" t="s">
        <v>92</v>
      </c>
      <c r="F117" s="7" t="n">
        <v>730.736660485657</v>
      </c>
      <c r="G117" s="7" t="n">
        <v>410.411203375606</v>
      </c>
      <c r="H117" s="7" t="n">
        <v>258.648516486319</v>
      </c>
      <c r="I117" s="7" t="n">
        <v>965.251560614477</v>
      </c>
      <c r="J117" s="7" t="n">
        <v>358.74969081215</v>
      </c>
      <c r="K117" s="7" t="n">
        <v>325.134178555256</v>
      </c>
      <c r="L117" s="7" t="n">
        <v>243.80312447995</v>
      </c>
      <c r="M117" s="7" t="n">
        <v>745.762853545333</v>
      </c>
      <c r="N117" s="7" t="n">
        <v>606.72609749872</v>
      </c>
      <c r="O117" s="7" t="n">
        <v>289.811207677707</v>
      </c>
      <c r="P117" s="7" t="n">
        <v>577.606544766599</v>
      </c>
      <c r="Q117" s="7" t="n">
        <v>0</v>
      </c>
      <c r="R117" s="7" t="n">
        <v>0</v>
      </c>
      <c r="S117" s="7" t="n">
        <v>0</v>
      </c>
      <c r="T117" s="7" t="n">
        <v>35.3760518542177</v>
      </c>
      <c r="U117" s="7" t="n">
        <v>1815.83674586166</v>
      </c>
      <c r="V117" s="7" t="n">
        <v>657.137011862698</v>
      </c>
      <c r="W117" s="7" t="n">
        <v>337.431166499023</v>
      </c>
      <c r="X117" s="7" t="n">
        <v>68.7994110860543</v>
      </c>
      <c r="Y117" s="7" t="n">
        <v>131.111814045747</v>
      </c>
      <c r="Z117" s="7" t="n">
        <v>87.0841846872392</v>
      </c>
      <c r="AA117" s="7" t="n">
        <v>93.6011253024275</v>
      </c>
      <c r="AB117" s="7" t="n">
        <v>145.946973832114</v>
      </c>
    </row>
    <row r="118" customFormat="false" ht="15" hidden="false" customHeight="false" outlineLevel="0" collapsed="false">
      <c r="A118" s="4" t="s">
        <v>175</v>
      </c>
      <c r="B118" s="4" t="s">
        <v>176</v>
      </c>
      <c r="C118" s="4" t="s">
        <v>112</v>
      </c>
      <c r="D118" s="4" t="s">
        <v>79</v>
      </c>
      <c r="E118" s="4" t="s">
        <v>93</v>
      </c>
      <c r="F118" s="7" t="n">
        <v>394.535934325589</v>
      </c>
      <c r="G118" s="7" t="n">
        <v>144.778282474793</v>
      </c>
      <c r="H118" s="7" t="n">
        <v>115.562041848402</v>
      </c>
      <c r="I118" s="7" t="n">
        <v>221.222975243606</v>
      </c>
      <c r="J118" s="7" t="n">
        <v>172.056340379759</v>
      </c>
      <c r="K118" s="7" t="n">
        <v>150.589208018542</v>
      </c>
      <c r="L118" s="7" t="n">
        <v>114.092296638502</v>
      </c>
      <c r="M118" s="7" t="n">
        <v>259.149384407046</v>
      </c>
      <c r="N118" s="7" t="n">
        <v>73.6689780118692</v>
      </c>
      <c r="O118" s="7" t="n">
        <v>53.4845778353949</v>
      </c>
      <c r="P118" s="7" t="n">
        <v>50.9829780010697</v>
      </c>
      <c r="Q118" s="7" t="n">
        <v>245.15914034723</v>
      </c>
      <c r="R118" s="7" t="n">
        <v>128.659186625665</v>
      </c>
      <c r="S118" s="7" t="n">
        <v>27.0352142417748</v>
      </c>
      <c r="T118" s="7" t="n">
        <v>17.8961882085714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</row>
    <row r="119" customFormat="false" ht="15" hidden="false" customHeight="false" outlineLevel="0" collapsed="false">
      <c r="A119" s="4" t="s">
        <v>177</v>
      </c>
      <c r="B119" s="4" t="s">
        <v>178</v>
      </c>
      <c r="C119" s="4" t="s">
        <v>99</v>
      </c>
      <c r="D119" s="4" t="s">
        <v>41</v>
      </c>
      <c r="E119" s="4" t="s">
        <v>91</v>
      </c>
      <c r="F119" s="7" t="n">
        <v>9.43269666202757</v>
      </c>
      <c r="G119" s="7" t="n">
        <v>6.98718483349108</v>
      </c>
      <c r="H119" s="7" t="n">
        <v>1.61737191181338</v>
      </c>
      <c r="I119" s="7" t="n">
        <v>1.52252913818359</v>
      </c>
      <c r="J119" s="7" t="n">
        <v>0.253352770996094</v>
      </c>
      <c r="K119" s="7" t="n">
        <v>1.83858846435547</v>
      </c>
      <c r="L119" s="7" t="n">
        <v>2.47321963500977</v>
      </c>
      <c r="M119" s="7" t="n">
        <v>2.66169167480469</v>
      </c>
      <c r="N119" s="7" t="n">
        <v>2.91884116210937</v>
      </c>
      <c r="O119" s="7" t="n">
        <v>0.634426538085937</v>
      </c>
      <c r="P119" s="7" t="n">
        <v>1.13955528564453</v>
      </c>
      <c r="Q119" s="7" t="n">
        <v>5.38391464233399</v>
      </c>
      <c r="R119" s="7" t="n">
        <v>3.57636259313247</v>
      </c>
      <c r="S119" s="7" t="n">
        <v>4.95115894775391</v>
      </c>
      <c r="T119" s="7" t="n">
        <v>12.2571600389668</v>
      </c>
      <c r="U119" s="7" t="n">
        <v>8.54252063714423</v>
      </c>
      <c r="V119" s="7" t="n">
        <v>5.4842454401012</v>
      </c>
      <c r="W119" s="7" t="n">
        <v>0.950017724609375</v>
      </c>
      <c r="X119" s="7" t="n">
        <v>0.190074682617188</v>
      </c>
      <c r="Y119" s="7" t="n">
        <v>3.92470590209961</v>
      </c>
      <c r="Z119" s="7" t="n">
        <v>1.90185177612305</v>
      </c>
      <c r="AA119" s="7" t="n">
        <v>1.77451901855469</v>
      </c>
      <c r="AB119" s="7" t="n">
        <v>0.948792181396484</v>
      </c>
    </row>
    <row r="120" customFormat="false" ht="15" hidden="false" customHeight="false" outlineLevel="0" collapsed="false">
      <c r="A120" s="4" t="s">
        <v>177</v>
      </c>
      <c r="B120" s="4" t="s">
        <v>178</v>
      </c>
      <c r="C120" s="4" t="s">
        <v>99</v>
      </c>
      <c r="D120" s="4" t="s">
        <v>41</v>
      </c>
      <c r="E120" s="4" t="s">
        <v>92</v>
      </c>
      <c r="F120" s="7" t="n">
        <v>0.133038500325943</v>
      </c>
      <c r="G120" s="7" t="n">
        <v>0.042368956792126</v>
      </c>
      <c r="H120" s="7" t="n">
        <v>0.093191454885839</v>
      </c>
      <c r="I120" s="7" t="n">
        <v>15.5806750488281</v>
      </c>
      <c r="J120" s="7" t="n">
        <v>3.56073389322917</v>
      </c>
      <c r="K120" s="7" t="n">
        <v>6.3971964390175</v>
      </c>
      <c r="L120" s="7" t="n">
        <v>11.84822578125</v>
      </c>
      <c r="M120" s="7" t="n">
        <v>8.30048480224609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0.0291613404427118</v>
      </c>
      <c r="V120" s="7" t="n">
        <v>0.111374924051303</v>
      </c>
      <c r="W120" s="7" t="n">
        <v>0.443705926513672</v>
      </c>
      <c r="X120" s="7" t="n">
        <v>4.87505283894857</v>
      </c>
      <c r="Y120" s="7" t="n">
        <v>0</v>
      </c>
      <c r="Z120" s="7" t="n">
        <v>0</v>
      </c>
      <c r="AA120" s="7" t="n">
        <v>0</v>
      </c>
      <c r="AB120" s="7" t="n">
        <v>0</v>
      </c>
    </row>
    <row r="121" customFormat="false" ht="15" hidden="false" customHeight="false" outlineLevel="0" collapsed="false">
      <c r="A121" s="4" t="s">
        <v>177</v>
      </c>
      <c r="B121" s="4" t="s">
        <v>178</v>
      </c>
      <c r="C121" s="4" t="s">
        <v>99</v>
      </c>
      <c r="D121" s="4" t="s">
        <v>41</v>
      </c>
      <c r="E121" s="4" t="s">
        <v>93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</row>
    <row r="122" customFormat="false" ht="15" hidden="false" customHeight="false" outlineLevel="0" collapsed="false">
      <c r="A122" s="4" t="s">
        <v>179</v>
      </c>
      <c r="B122" s="4" t="s">
        <v>180</v>
      </c>
      <c r="C122" s="4" t="s">
        <v>104</v>
      </c>
      <c r="D122" s="4" t="s">
        <v>41</v>
      </c>
      <c r="E122" s="4" t="s">
        <v>91</v>
      </c>
      <c r="F122" s="7" t="n">
        <v>121.82221981194</v>
      </c>
      <c r="G122" s="7" t="n">
        <v>126.183488603784</v>
      </c>
      <c r="H122" s="7" t="n">
        <v>52.9436304473877</v>
      </c>
      <c r="I122" s="7" t="n">
        <v>51.771069329834</v>
      </c>
      <c r="J122" s="7" t="n">
        <v>113.561447977594</v>
      </c>
      <c r="K122" s="7" t="n">
        <v>41.5228296630859</v>
      </c>
      <c r="L122" s="7" t="n">
        <v>86.8237301608695</v>
      </c>
      <c r="M122" s="7" t="n">
        <v>85.4318236625881</v>
      </c>
      <c r="N122" s="7" t="n">
        <v>73.5088430632707</v>
      </c>
      <c r="O122" s="7" t="n">
        <v>63.4028435673613</v>
      </c>
      <c r="P122" s="7" t="n">
        <v>90.4525050824573</v>
      </c>
      <c r="Q122" s="7" t="n">
        <v>70.6685841462618</v>
      </c>
      <c r="R122" s="7" t="n">
        <v>9.27166519470215</v>
      </c>
      <c r="S122" s="7" t="n">
        <v>90.6462892849737</v>
      </c>
      <c r="T122" s="7" t="n">
        <v>29.7289202958649</v>
      </c>
      <c r="U122" s="7" t="n">
        <v>65.2239394313438</v>
      </c>
      <c r="V122" s="7" t="n">
        <v>126.322864350885</v>
      </c>
      <c r="W122" s="7" t="n">
        <v>162.425950012055</v>
      </c>
      <c r="X122" s="7" t="n">
        <v>70.0153126780741</v>
      </c>
      <c r="Y122" s="7" t="n">
        <v>99.3635874319159</v>
      </c>
      <c r="Z122" s="7" t="n">
        <v>58.4381491853602</v>
      </c>
      <c r="AA122" s="7" t="n">
        <v>45.5226529846191</v>
      </c>
      <c r="AB122" s="7" t="n">
        <v>40.1737112567617</v>
      </c>
    </row>
    <row r="123" customFormat="false" ht="15" hidden="false" customHeight="false" outlineLevel="0" collapsed="false">
      <c r="A123" s="4" t="s">
        <v>179</v>
      </c>
      <c r="B123" s="4" t="s">
        <v>180</v>
      </c>
      <c r="C123" s="4" t="s">
        <v>104</v>
      </c>
      <c r="D123" s="4" t="s">
        <v>41</v>
      </c>
      <c r="E123" s="4" t="s">
        <v>92</v>
      </c>
      <c r="F123" s="7" t="n">
        <v>0</v>
      </c>
      <c r="G123" s="7" t="n">
        <v>68.9143342927049</v>
      </c>
      <c r="H123" s="7" t="n">
        <v>25.5346183477185</v>
      </c>
      <c r="I123" s="7" t="n">
        <v>112.470983850337</v>
      </c>
      <c r="J123" s="7" t="n">
        <v>179.978389377681</v>
      </c>
      <c r="K123" s="7" t="n">
        <v>55.3664485639146</v>
      </c>
      <c r="L123" s="7" t="n">
        <v>112.421310302328</v>
      </c>
      <c r="M123" s="7" t="n">
        <v>94.0279277226108</v>
      </c>
      <c r="N123" s="7" t="n">
        <v>87.9832140709252</v>
      </c>
      <c r="O123" s="7" t="n">
        <v>111.534979297976</v>
      </c>
      <c r="P123" s="7" t="n">
        <v>107.615108124964</v>
      </c>
      <c r="Q123" s="7" t="n">
        <v>0</v>
      </c>
      <c r="R123" s="7" t="n">
        <v>0</v>
      </c>
      <c r="S123" s="7" t="n">
        <v>5.74390125602525</v>
      </c>
      <c r="T123" s="7" t="n">
        <v>41.2896756439209</v>
      </c>
      <c r="U123" s="7" t="n">
        <v>77.1286185279397</v>
      </c>
      <c r="V123" s="7" t="n">
        <v>69.17943884135</v>
      </c>
      <c r="W123" s="7" t="n">
        <v>67.3321784129266</v>
      </c>
      <c r="X123" s="7" t="n">
        <v>59.7590693959005</v>
      </c>
      <c r="Y123" s="7" t="n">
        <v>0</v>
      </c>
      <c r="Z123" s="7" t="n">
        <v>0</v>
      </c>
      <c r="AA123" s="7" t="n">
        <v>0</v>
      </c>
      <c r="AB123" s="7" t="n">
        <v>0</v>
      </c>
    </row>
    <row r="124" customFormat="false" ht="15" hidden="false" customHeight="false" outlineLevel="0" collapsed="false">
      <c r="A124" s="4" t="s">
        <v>179</v>
      </c>
      <c r="B124" s="4" t="s">
        <v>180</v>
      </c>
      <c r="C124" s="4" t="s">
        <v>104</v>
      </c>
      <c r="D124" s="4" t="s">
        <v>41</v>
      </c>
      <c r="E124" s="4" t="s">
        <v>93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</row>
    <row r="125" customFormat="false" ht="15" hidden="false" customHeight="false" outlineLevel="0" collapsed="false">
      <c r="A125" s="4" t="s">
        <v>181</v>
      </c>
      <c r="B125" s="4" t="s">
        <v>182</v>
      </c>
      <c r="C125" s="4" t="s">
        <v>104</v>
      </c>
      <c r="D125" s="4" t="s">
        <v>41</v>
      </c>
      <c r="E125" s="4" t="s">
        <v>91</v>
      </c>
      <c r="F125" s="7" t="n">
        <v>1409.20610747996</v>
      </c>
      <c r="G125" s="7" t="n">
        <v>708.816843014053</v>
      </c>
      <c r="H125" s="7" t="n">
        <v>383.336376653409</v>
      </c>
      <c r="I125" s="7" t="n">
        <v>1111.73271445279</v>
      </c>
      <c r="J125" s="7" t="n">
        <v>1079.39794148607</v>
      </c>
      <c r="K125" s="7" t="n">
        <v>1065.33908771244</v>
      </c>
      <c r="L125" s="7" t="n">
        <v>357.046578043273</v>
      </c>
      <c r="M125" s="7" t="n">
        <v>422.942224028093</v>
      </c>
      <c r="N125" s="7" t="n">
        <v>331.45671761611</v>
      </c>
      <c r="O125" s="7" t="n">
        <v>1612.69245852144</v>
      </c>
      <c r="P125" s="7" t="n">
        <v>457.32815512916</v>
      </c>
      <c r="Q125" s="7" t="n">
        <v>696.105592826407</v>
      </c>
      <c r="R125" s="7" t="n">
        <v>102.416162651511</v>
      </c>
      <c r="S125" s="7" t="n">
        <v>166.321993102633</v>
      </c>
      <c r="T125" s="7" t="n">
        <v>134.33680088428</v>
      </c>
      <c r="U125" s="7" t="n">
        <v>320.266683206478</v>
      </c>
      <c r="V125" s="7" t="n">
        <v>616.537250064374</v>
      </c>
      <c r="W125" s="7" t="n">
        <v>747.387187059506</v>
      </c>
      <c r="X125" s="7" t="n">
        <v>535.139506301954</v>
      </c>
      <c r="Y125" s="7" t="n">
        <v>536.924356329728</v>
      </c>
      <c r="Z125" s="7" t="n">
        <v>500.235764575088</v>
      </c>
      <c r="AA125" s="7" t="n">
        <v>337.083806017504</v>
      </c>
      <c r="AB125" s="7" t="n">
        <v>365.758665136492</v>
      </c>
    </row>
    <row r="126" customFormat="false" ht="15" hidden="false" customHeight="false" outlineLevel="0" collapsed="false">
      <c r="A126" s="4" t="s">
        <v>181</v>
      </c>
      <c r="B126" s="4" t="s">
        <v>182</v>
      </c>
      <c r="C126" s="4" t="s">
        <v>104</v>
      </c>
      <c r="D126" s="4" t="s">
        <v>41</v>
      </c>
      <c r="E126" s="4" t="s">
        <v>92</v>
      </c>
      <c r="F126" s="7" t="n">
        <v>12.8173801539106</v>
      </c>
      <c r="G126" s="7" t="n">
        <v>53.7844967566346</v>
      </c>
      <c r="H126" s="7" t="n">
        <v>0.738218931223878</v>
      </c>
      <c r="I126" s="7" t="n">
        <v>70.0123827791962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469.634050797916</v>
      </c>
      <c r="Q126" s="7" t="n">
        <v>344.860766078503</v>
      </c>
      <c r="R126" s="7" t="n">
        <v>382.919486566712</v>
      </c>
      <c r="S126" s="7" t="n">
        <v>552.714933844293</v>
      </c>
      <c r="T126" s="7" t="n">
        <v>203.728644492188</v>
      </c>
      <c r="U126" s="7" t="n">
        <v>329.488865243289</v>
      </c>
      <c r="V126" s="7" t="n">
        <v>440.910077298357</v>
      </c>
      <c r="W126" s="7" t="n">
        <v>387.51472064264</v>
      </c>
      <c r="X126" s="7" t="n">
        <v>319.874339704276</v>
      </c>
      <c r="Y126" s="7" t="n">
        <v>0</v>
      </c>
      <c r="Z126" s="7" t="n">
        <v>0</v>
      </c>
      <c r="AA126" s="7" t="n">
        <v>0</v>
      </c>
      <c r="AB126" s="7" t="n">
        <v>0</v>
      </c>
    </row>
    <row r="127" customFormat="false" ht="15" hidden="false" customHeight="false" outlineLevel="0" collapsed="false">
      <c r="A127" s="4" t="s">
        <v>181</v>
      </c>
      <c r="B127" s="4" t="s">
        <v>182</v>
      </c>
      <c r="C127" s="4" t="s">
        <v>104</v>
      </c>
      <c r="D127" s="4" t="s">
        <v>41</v>
      </c>
      <c r="E127" s="4" t="s">
        <v>93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</row>
    <row r="128" customFormat="false" ht="15" hidden="false" customHeight="false" outlineLevel="0" collapsed="false">
      <c r="A128" s="4" t="s">
        <v>183</v>
      </c>
      <c r="B128" s="4" t="s">
        <v>184</v>
      </c>
      <c r="C128" s="4" t="s">
        <v>112</v>
      </c>
      <c r="D128" s="4" t="s">
        <v>79</v>
      </c>
      <c r="E128" s="4" t="s">
        <v>91</v>
      </c>
      <c r="F128" s="7" t="n">
        <v>0</v>
      </c>
      <c r="G128" s="7" t="n">
        <v>0</v>
      </c>
      <c r="H128" s="7" t="n">
        <v>0.148361950683594</v>
      </c>
      <c r="I128" s="7" t="n">
        <v>0.074179345703125</v>
      </c>
      <c r="J128" s="7" t="n">
        <v>0.370907110595703</v>
      </c>
      <c r="K128" s="7" t="n">
        <v>6.45568692626953</v>
      </c>
      <c r="L128" s="7" t="n">
        <v>3.19101110229492</v>
      </c>
      <c r="M128" s="7" t="n">
        <v>13.0597943786621</v>
      </c>
      <c r="N128" s="7" t="n">
        <v>4.74935623168945</v>
      </c>
      <c r="O128" s="7" t="n">
        <v>1.38410893173893</v>
      </c>
      <c r="P128" s="7" t="n">
        <v>0.650775598401717</v>
      </c>
      <c r="Q128" s="7" t="n">
        <v>1.32864695648832</v>
      </c>
      <c r="R128" s="7" t="n">
        <v>0.777871358073021</v>
      </c>
      <c r="S128" s="7" t="n">
        <v>1.5689874740909</v>
      </c>
      <c r="T128" s="7" t="n">
        <v>0.148526409912109</v>
      </c>
      <c r="U128" s="7" t="n">
        <v>0.371008312988281</v>
      </c>
      <c r="V128" s="7" t="n">
        <v>5.19221126098633</v>
      </c>
      <c r="W128" s="7" t="n">
        <v>1.63333333333139</v>
      </c>
      <c r="X128" s="7" t="n">
        <v>1.80000000000776</v>
      </c>
      <c r="Y128" s="7" t="n">
        <v>1.79999999999806</v>
      </c>
      <c r="Z128" s="7" t="n">
        <v>1.75</v>
      </c>
      <c r="AA128" s="7" t="n">
        <v>1.59999999997672</v>
      </c>
      <c r="AB128" s="7" t="n">
        <v>1.71666666665826</v>
      </c>
    </row>
    <row r="129" customFormat="false" ht="15" hidden="false" customHeight="false" outlineLevel="0" collapsed="false">
      <c r="A129" s="4" t="s">
        <v>183</v>
      </c>
      <c r="B129" s="4" t="s">
        <v>184</v>
      </c>
      <c r="C129" s="4" t="s">
        <v>112</v>
      </c>
      <c r="D129" s="4" t="s">
        <v>79</v>
      </c>
      <c r="E129" s="4" t="s">
        <v>92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0.305641733156393</v>
      </c>
      <c r="P129" s="7" t="n">
        <v>0.305641733156393</v>
      </c>
      <c r="Q129" s="7" t="n">
        <v>1.22244877026593</v>
      </c>
      <c r="R129" s="7" t="n">
        <v>0.916807037109532</v>
      </c>
      <c r="S129" s="7" t="n">
        <v>0.360665553252852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</row>
    <row r="130" customFormat="false" ht="15" hidden="false" customHeight="false" outlineLevel="0" collapsed="false">
      <c r="A130" s="4" t="s">
        <v>183</v>
      </c>
      <c r="B130" s="4" t="s">
        <v>184</v>
      </c>
      <c r="C130" s="4" t="s">
        <v>112</v>
      </c>
      <c r="D130" s="4" t="s">
        <v>79</v>
      </c>
      <c r="E130" s="4" t="s">
        <v>93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</row>
    <row r="131" customFormat="false" ht="15" hidden="false" customHeight="false" outlineLevel="0" collapsed="false">
      <c r="A131" s="4" t="s">
        <v>185</v>
      </c>
      <c r="B131" s="4" t="s">
        <v>186</v>
      </c>
      <c r="C131" s="4" t="s">
        <v>104</v>
      </c>
      <c r="D131" s="4" t="s">
        <v>41</v>
      </c>
      <c r="E131" s="4" t="s">
        <v>91</v>
      </c>
      <c r="F131" s="7" t="n">
        <v>254.954841738592</v>
      </c>
      <c r="G131" s="7" t="n">
        <v>61.1040125414535</v>
      </c>
      <c r="H131" s="7" t="n">
        <v>47.769836084711</v>
      </c>
      <c r="I131" s="7" t="n">
        <v>54.5942772009657</v>
      </c>
      <c r="J131" s="7" t="n">
        <v>148.215066638252</v>
      </c>
      <c r="K131" s="7" t="n">
        <v>117.473155726051</v>
      </c>
      <c r="L131" s="7" t="n">
        <v>95.54235329394</v>
      </c>
      <c r="M131" s="7" t="n">
        <v>172.418317712617</v>
      </c>
      <c r="N131" s="7" t="n">
        <v>171.070164195641</v>
      </c>
      <c r="O131" s="7" t="n">
        <v>180.347647941931</v>
      </c>
      <c r="P131" s="7" t="n">
        <v>39.668090423584</v>
      </c>
      <c r="Q131" s="7" t="n">
        <v>111.784791021753</v>
      </c>
      <c r="R131" s="7" t="n">
        <v>29.3793754974365</v>
      </c>
      <c r="S131" s="7" t="n">
        <v>80.6923588578528</v>
      </c>
      <c r="T131" s="7" t="n">
        <v>95.8403210205078</v>
      </c>
      <c r="U131" s="7" t="n">
        <v>140.585861833029</v>
      </c>
      <c r="V131" s="7" t="n">
        <v>173.98945133083</v>
      </c>
      <c r="W131" s="7" t="n">
        <v>109.339865161133</v>
      </c>
      <c r="X131" s="7" t="n">
        <v>72.9704038319307</v>
      </c>
      <c r="Y131" s="7" t="n">
        <v>24.9041011471069</v>
      </c>
      <c r="Z131" s="7" t="n">
        <v>70.2072971742159</v>
      </c>
      <c r="AA131" s="7" t="n">
        <v>40.219063808869</v>
      </c>
      <c r="AB131" s="7" t="n">
        <v>36.8855730653381</v>
      </c>
    </row>
    <row r="132" customFormat="false" ht="15" hidden="false" customHeight="false" outlineLevel="0" collapsed="false">
      <c r="A132" s="4" t="s">
        <v>185</v>
      </c>
      <c r="B132" s="4" t="s">
        <v>186</v>
      </c>
      <c r="C132" s="4" t="s">
        <v>104</v>
      </c>
      <c r="D132" s="4" t="s">
        <v>41</v>
      </c>
      <c r="E132" s="4" t="s">
        <v>92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87.2665409005296</v>
      </c>
      <c r="O132" s="7" t="n">
        <v>0</v>
      </c>
      <c r="P132" s="7" t="n">
        <v>41.3781139244768</v>
      </c>
      <c r="Q132" s="7" t="n">
        <v>68.2595124286607</v>
      </c>
      <c r="R132" s="7" t="n">
        <v>27.9952800476074</v>
      </c>
      <c r="S132" s="7" t="n">
        <v>76.0191513866948</v>
      </c>
      <c r="T132" s="7" t="n">
        <v>0</v>
      </c>
      <c r="U132" s="7" t="n">
        <v>0</v>
      </c>
      <c r="V132" s="7" t="n">
        <v>0</v>
      </c>
      <c r="W132" s="7" t="n">
        <v>37.954824166906</v>
      </c>
      <c r="X132" s="7" t="n">
        <v>108.113173874236</v>
      </c>
      <c r="Y132" s="7" t="n">
        <v>29.7564720378273</v>
      </c>
      <c r="Z132" s="7" t="n">
        <v>0</v>
      </c>
      <c r="AA132" s="7" t="n">
        <v>0</v>
      </c>
      <c r="AB132" s="7" t="n">
        <v>3.56728130172737</v>
      </c>
    </row>
    <row r="133" customFormat="false" ht="15" hidden="false" customHeight="false" outlineLevel="0" collapsed="false">
      <c r="A133" s="4" t="s">
        <v>185</v>
      </c>
      <c r="B133" s="4" t="s">
        <v>186</v>
      </c>
      <c r="C133" s="4" t="s">
        <v>104</v>
      </c>
      <c r="D133" s="4" t="s">
        <v>41</v>
      </c>
      <c r="E133" s="4" t="s">
        <v>93</v>
      </c>
      <c r="F133" s="7" t="n">
        <v>1531.81485040638</v>
      </c>
      <c r="G133" s="7" t="n">
        <v>391.53543147448</v>
      </c>
      <c r="H133" s="7" t="n">
        <v>551.320684502352</v>
      </c>
      <c r="I133" s="7" t="n">
        <v>872.586153951163</v>
      </c>
      <c r="J133" s="7" t="n">
        <v>2793.27878657792</v>
      </c>
      <c r="K133" s="7" t="n">
        <v>2076.15457842257</v>
      </c>
      <c r="L133" s="7" t="n">
        <v>1615.52850737078</v>
      </c>
      <c r="M133" s="7" t="n">
        <v>2092.35570471554</v>
      </c>
      <c r="N133" s="7" t="n">
        <v>2667.63356961491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</row>
    <row r="134" customFormat="false" ht="15" hidden="false" customHeight="false" outlineLevel="0" collapsed="false">
      <c r="A134" s="4" t="s">
        <v>187</v>
      </c>
      <c r="B134" s="4" t="s">
        <v>188</v>
      </c>
      <c r="C134" s="4" t="s">
        <v>112</v>
      </c>
      <c r="D134" s="4" t="s">
        <v>79</v>
      </c>
      <c r="E134" s="4" t="s">
        <v>91</v>
      </c>
      <c r="F134" s="7" t="n">
        <v>775.04323190772</v>
      </c>
      <c r="G134" s="7" t="n">
        <v>738.905349440679</v>
      </c>
      <c r="H134" s="7" t="n">
        <v>849.259564446066</v>
      </c>
      <c r="I134" s="7" t="n">
        <v>1384.27327106832</v>
      </c>
      <c r="J134" s="7" t="n">
        <v>377.41506311624</v>
      </c>
      <c r="K134" s="7" t="n">
        <v>1129.1985456198</v>
      </c>
      <c r="L134" s="7" t="n">
        <v>870.405799991601</v>
      </c>
      <c r="M134" s="7" t="n">
        <v>1452.24486580275</v>
      </c>
      <c r="N134" s="7" t="n">
        <v>450.19440900989</v>
      </c>
      <c r="O134" s="7" t="n">
        <v>1119.01666981405</v>
      </c>
      <c r="P134" s="7" t="n">
        <v>1080.20513879919</v>
      </c>
      <c r="Q134" s="7" t="n">
        <v>1329.99758871833</v>
      </c>
      <c r="R134" s="7" t="n">
        <v>1909.73500839198</v>
      </c>
      <c r="S134" s="7" t="n">
        <v>1180.43676665112</v>
      </c>
      <c r="T134" s="7" t="n">
        <v>701.910749195106</v>
      </c>
      <c r="U134" s="7" t="n">
        <v>958.672283061047</v>
      </c>
      <c r="V134" s="7" t="n">
        <v>965.22732919412</v>
      </c>
      <c r="W134" s="7" t="n">
        <v>901.074890551206</v>
      </c>
      <c r="X134" s="7" t="n">
        <v>676.550737098915</v>
      </c>
      <c r="Y134" s="7" t="n">
        <v>281.114533502669</v>
      </c>
      <c r="Z134" s="7" t="n">
        <v>200.234350538254</v>
      </c>
      <c r="AA134" s="7" t="n">
        <v>244.969668334373</v>
      </c>
      <c r="AB134" s="7" t="n">
        <v>395.20604252804</v>
      </c>
    </row>
    <row r="135" customFormat="false" ht="15" hidden="false" customHeight="false" outlineLevel="0" collapsed="false">
      <c r="A135" s="4" t="s">
        <v>187</v>
      </c>
      <c r="B135" s="4" t="s">
        <v>188</v>
      </c>
      <c r="C135" s="4" t="s">
        <v>112</v>
      </c>
      <c r="D135" s="4" t="s">
        <v>79</v>
      </c>
      <c r="E135" s="4" t="s">
        <v>92</v>
      </c>
      <c r="F135" s="7" t="n">
        <v>76.778952075204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7.06541068361031</v>
      </c>
      <c r="L135" s="7" t="n">
        <v>265.500801421281</v>
      </c>
      <c r="M135" s="7" t="n">
        <v>88.2295138266039</v>
      </c>
      <c r="N135" s="7" t="n">
        <v>654.452849611832</v>
      </c>
      <c r="O135" s="7" t="n">
        <v>3.52088549267463</v>
      </c>
      <c r="P135" s="7" t="n">
        <v>28.044166075693</v>
      </c>
      <c r="Q135" s="7" t="n">
        <v>61.6200201657442</v>
      </c>
      <c r="R135" s="7" t="n">
        <v>143.476591219623</v>
      </c>
      <c r="S135" s="7" t="n">
        <v>67.1436975897402</v>
      </c>
      <c r="T135" s="7" t="n">
        <v>15.3501417411574</v>
      </c>
      <c r="U135" s="7" t="n">
        <v>30.5352730928689</v>
      </c>
      <c r="V135" s="7" t="n">
        <v>369.371908494395</v>
      </c>
      <c r="W135" s="7" t="n">
        <v>152.957789213554</v>
      </c>
      <c r="X135" s="7" t="n">
        <v>42.1585231678755</v>
      </c>
      <c r="Y135" s="7" t="n">
        <v>18.965497253312</v>
      </c>
      <c r="Z135" s="7" t="n">
        <v>9.91632866513083</v>
      </c>
      <c r="AA135" s="7" t="n">
        <v>2.96339879857931</v>
      </c>
      <c r="AB135" s="7" t="n">
        <v>18.748865345921</v>
      </c>
    </row>
    <row r="136" customFormat="false" ht="15" hidden="false" customHeight="false" outlineLevel="0" collapsed="false">
      <c r="A136" s="4" t="s">
        <v>187</v>
      </c>
      <c r="B136" s="4" t="s">
        <v>188</v>
      </c>
      <c r="C136" s="4" t="s">
        <v>112</v>
      </c>
      <c r="D136" s="4" t="s">
        <v>79</v>
      </c>
      <c r="E136" s="4" t="s">
        <v>93</v>
      </c>
      <c r="F136" s="7" t="n">
        <v>34.2895057202876</v>
      </c>
      <c r="G136" s="7" t="n">
        <v>26.638822628485</v>
      </c>
      <c r="H136" s="7" t="n">
        <v>10.862572762234</v>
      </c>
      <c r="I136" s="7" t="n">
        <v>9.5332994908111</v>
      </c>
      <c r="J136" s="7" t="n">
        <v>33.897246852405</v>
      </c>
      <c r="K136" s="7" t="n">
        <v>4.01832154133405</v>
      </c>
      <c r="L136" s="7" t="n">
        <v>7.90924188115049</v>
      </c>
      <c r="M136" s="7" t="n">
        <v>4.39174707333939</v>
      </c>
      <c r="N136" s="7" t="n">
        <v>26.6965604796008</v>
      </c>
      <c r="O136" s="7" t="n">
        <v>10.5833827765108</v>
      </c>
      <c r="P136" s="7" t="n">
        <v>10.6392975436399</v>
      </c>
      <c r="Q136" s="7" t="n">
        <v>25.0913342376229</v>
      </c>
      <c r="R136" s="7" t="n">
        <v>50.4185430028989</v>
      </c>
      <c r="S136" s="7" t="n">
        <v>50.102486972971</v>
      </c>
      <c r="T136" s="7" t="n">
        <v>8.86575384185636</v>
      </c>
      <c r="U136" s="7" t="n">
        <v>12.0915212121177</v>
      </c>
      <c r="V136" s="7" t="n">
        <v>31.2986760639737</v>
      </c>
      <c r="W136" s="7" t="n">
        <v>20.0527815962507</v>
      </c>
      <c r="X136" s="7" t="n">
        <v>19.5477367709457</v>
      </c>
      <c r="Y136" s="7" t="n">
        <v>30.179876767954</v>
      </c>
      <c r="Z136" s="7" t="n">
        <v>20.8999063032552</v>
      </c>
      <c r="AA136" s="7" t="n">
        <v>11.6768456735156</v>
      </c>
      <c r="AB136" s="7" t="n">
        <v>6.17300978248047</v>
      </c>
    </row>
    <row r="137" customFormat="false" ht="15" hidden="false" customHeight="false" outlineLevel="0" collapsed="false">
      <c r="A137" s="4" t="s">
        <v>189</v>
      </c>
      <c r="B137" s="4" t="s">
        <v>190</v>
      </c>
      <c r="C137" s="4" t="s">
        <v>101</v>
      </c>
      <c r="D137" s="4" t="s">
        <v>55</v>
      </c>
      <c r="E137" s="4" t="s">
        <v>91</v>
      </c>
      <c r="F137" s="7" t="n">
        <v>98.7575103812902</v>
      </c>
      <c r="G137" s="7" t="n">
        <v>111.034921641687</v>
      </c>
      <c r="H137" s="7" t="n">
        <v>59.7389387951899</v>
      </c>
      <c r="I137" s="7" t="n">
        <v>120.426410482497</v>
      </c>
      <c r="J137" s="7" t="n">
        <v>77.5458681031956</v>
      </c>
      <c r="K137" s="7" t="n">
        <v>81.2740765761091</v>
      </c>
      <c r="L137" s="7" t="n">
        <v>71.186221745797</v>
      </c>
      <c r="M137" s="7" t="n">
        <v>133.972579590005</v>
      </c>
      <c r="N137" s="7" t="n">
        <v>214.800463863401</v>
      </c>
      <c r="O137" s="7" t="n">
        <v>92.1033040882241</v>
      </c>
      <c r="P137" s="7" t="n">
        <v>135.734158079585</v>
      </c>
      <c r="Q137" s="7" t="n">
        <v>196.667880047201</v>
      </c>
      <c r="R137" s="7" t="n">
        <v>175.984086269364</v>
      </c>
      <c r="S137" s="7" t="n">
        <v>224.752442219406</v>
      </c>
      <c r="T137" s="7" t="n">
        <v>212.696578696433</v>
      </c>
      <c r="U137" s="7" t="n">
        <v>334.766132337144</v>
      </c>
      <c r="V137" s="7" t="n">
        <v>446.315330134467</v>
      </c>
      <c r="W137" s="7" t="n">
        <v>152.033681016774</v>
      </c>
      <c r="X137" s="7" t="n">
        <v>99.5292728526017</v>
      </c>
      <c r="Y137" s="7" t="n">
        <v>8.41925292727869</v>
      </c>
      <c r="Z137" s="7" t="n">
        <v>8.11299823054936</v>
      </c>
      <c r="AA137" s="7" t="n">
        <v>7.0608783999085</v>
      </c>
      <c r="AB137" s="7" t="n">
        <v>6.62600603094417</v>
      </c>
    </row>
    <row r="138" customFormat="false" ht="15" hidden="false" customHeight="false" outlineLevel="0" collapsed="false">
      <c r="A138" s="4" t="s">
        <v>189</v>
      </c>
      <c r="B138" s="4" t="s">
        <v>190</v>
      </c>
      <c r="C138" s="4" t="s">
        <v>101</v>
      </c>
      <c r="D138" s="4" t="s">
        <v>55</v>
      </c>
      <c r="E138" s="4" t="s">
        <v>92</v>
      </c>
      <c r="F138" s="7" t="n">
        <v>25.4960857572428</v>
      </c>
      <c r="G138" s="7" t="n">
        <v>55.5522202524611</v>
      </c>
      <c r="H138" s="7" t="n">
        <v>65.5619850834865</v>
      </c>
      <c r="I138" s="7" t="n">
        <v>41.53962738089</v>
      </c>
      <c r="J138" s="7" t="n">
        <v>33.8272052148191</v>
      </c>
      <c r="K138" s="7" t="n">
        <v>44.5881119172322</v>
      </c>
      <c r="L138" s="7" t="n">
        <v>38.7778419139189</v>
      </c>
      <c r="M138" s="7" t="n">
        <v>56.4131140725591</v>
      </c>
      <c r="N138" s="7" t="n">
        <v>57.8713368555936</v>
      </c>
      <c r="O138" s="7" t="n">
        <v>33.4211890995106</v>
      </c>
      <c r="P138" s="7" t="n">
        <v>39.5167569224018</v>
      </c>
      <c r="Q138" s="7" t="n">
        <v>22.1386300860469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9.57129315113899</v>
      </c>
      <c r="W138" s="7" t="n">
        <v>10.2557390662579</v>
      </c>
      <c r="X138" s="7" t="n">
        <v>7.0511136188482</v>
      </c>
      <c r="Y138" s="7" t="n">
        <v>5.29373789913732</v>
      </c>
      <c r="Z138" s="7" t="n">
        <v>2.51206265840974</v>
      </c>
      <c r="AA138" s="7" t="n">
        <v>3.4228396481872</v>
      </c>
      <c r="AB138" s="7" t="n">
        <v>2.94537360162419</v>
      </c>
    </row>
    <row r="139" customFormat="false" ht="15" hidden="false" customHeight="false" outlineLevel="0" collapsed="false">
      <c r="A139" s="4" t="s">
        <v>189</v>
      </c>
      <c r="B139" s="4" t="s">
        <v>190</v>
      </c>
      <c r="C139" s="4" t="s">
        <v>101</v>
      </c>
      <c r="D139" s="4" t="s">
        <v>55</v>
      </c>
      <c r="E139" s="4" t="s">
        <v>93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</row>
    <row r="140" customFormat="false" ht="15" hidden="false" customHeight="false" outlineLevel="0" collapsed="false">
      <c r="A140" s="4" t="s">
        <v>191</v>
      </c>
      <c r="B140" s="4" t="s">
        <v>192</v>
      </c>
      <c r="C140" s="4" t="s">
        <v>107</v>
      </c>
      <c r="D140" s="4" t="s">
        <v>79</v>
      </c>
      <c r="E140" s="4" t="s">
        <v>91</v>
      </c>
      <c r="F140" s="7" t="n">
        <v>3537.73141619711</v>
      </c>
      <c r="G140" s="7" t="n">
        <v>3575.68389774101</v>
      </c>
      <c r="H140" s="7" t="n">
        <v>1899.42063526614</v>
      </c>
      <c r="I140" s="7" t="n">
        <v>3496.01701450198</v>
      </c>
      <c r="J140" s="7" t="n">
        <v>4977.91552559058</v>
      </c>
      <c r="K140" s="7" t="n">
        <v>22086.3786214909</v>
      </c>
      <c r="L140" s="7" t="n">
        <v>47898.1354261533</v>
      </c>
      <c r="M140" s="7" t="n">
        <v>37263.8427794823</v>
      </c>
      <c r="N140" s="7" t="n">
        <v>12966.3682841039</v>
      </c>
      <c r="O140" s="7" t="n">
        <v>20662.643336372</v>
      </c>
      <c r="P140" s="7" t="n">
        <v>7828.03000864567</v>
      </c>
      <c r="Q140" s="7" t="n">
        <v>42596.7788357262</v>
      </c>
      <c r="R140" s="7" t="n">
        <v>6918.30438831002</v>
      </c>
      <c r="S140" s="7" t="n">
        <v>12392.1786380613</v>
      </c>
      <c r="T140" s="7" t="n">
        <v>4520.62305915171</v>
      </c>
      <c r="U140" s="7" t="n">
        <v>11576.0142405461</v>
      </c>
      <c r="V140" s="7" t="n">
        <v>20344.44140057</v>
      </c>
      <c r="W140" s="7" t="n">
        <v>18505.3610431223</v>
      </c>
      <c r="X140" s="7" t="n">
        <v>6030.21038425747</v>
      </c>
      <c r="Y140" s="7" t="n">
        <v>8299.17189132872</v>
      </c>
      <c r="Z140" s="7" t="n">
        <v>10811.480287618</v>
      </c>
      <c r="AA140" s="7" t="n">
        <v>25132.8328836314</v>
      </c>
      <c r="AB140" s="7" t="n">
        <v>14527.187137298</v>
      </c>
    </row>
    <row r="141" customFormat="false" ht="15" hidden="false" customHeight="false" outlineLevel="0" collapsed="false">
      <c r="A141" s="4" t="s">
        <v>191</v>
      </c>
      <c r="B141" s="4" t="s">
        <v>192</v>
      </c>
      <c r="C141" s="4" t="s">
        <v>107</v>
      </c>
      <c r="D141" s="4" t="s">
        <v>79</v>
      </c>
      <c r="E141" s="4" t="s">
        <v>92</v>
      </c>
      <c r="F141" s="7" t="n">
        <v>9796.38554663708</v>
      </c>
      <c r="G141" s="7" t="n">
        <v>13820.8954950867</v>
      </c>
      <c r="H141" s="7" t="n">
        <v>6129.96300873204</v>
      </c>
      <c r="I141" s="7" t="n">
        <v>4961.13177098282</v>
      </c>
      <c r="J141" s="7" t="n">
        <v>40.6163157958985</v>
      </c>
      <c r="K141" s="7" t="n">
        <v>1988.67374987591</v>
      </c>
      <c r="L141" s="7" t="n">
        <v>38.5389649597169</v>
      </c>
      <c r="M141" s="7" t="n">
        <v>8.92313959350586</v>
      </c>
      <c r="N141" s="7" t="n">
        <v>7718.49077721667</v>
      </c>
      <c r="O141" s="7" t="n">
        <v>37.2260744802916</v>
      </c>
      <c r="P141" s="7" t="n">
        <v>25.3815775939941</v>
      </c>
      <c r="Q141" s="7" t="n">
        <v>44.8412635925293</v>
      </c>
      <c r="R141" s="7" t="n">
        <v>14.8689597045898</v>
      </c>
      <c r="S141" s="7" t="n">
        <v>7310.11691514987</v>
      </c>
      <c r="T141" s="7" t="n">
        <v>16.6904338500977</v>
      </c>
      <c r="U141" s="7" t="n">
        <v>33.1445224060058</v>
      </c>
      <c r="V141" s="7" t="n">
        <v>29.7657842845962</v>
      </c>
      <c r="W141" s="7" t="n">
        <v>8.89878641867245</v>
      </c>
      <c r="X141" s="7" t="n">
        <v>11216.5199121484</v>
      </c>
      <c r="Y141" s="7" t="n">
        <v>14727.7616528806</v>
      </c>
      <c r="Z141" s="7" t="n">
        <v>3.99935466918945</v>
      </c>
      <c r="AA141" s="7" t="n">
        <v>11.5837226884909</v>
      </c>
      <c r="AB141" s="7" t="n">
        <v>4809.7678748257</v>
      </c>
    </row>
    <row r="142" customFormat="false" ht="15" hidden="false" customHeight="false" outlineLevel="0" collapsed="false">
      <c r="A142" s="4" t="s">
        <v>191</v>
      </c>
      <c r="B142" s="4" t="s">
        <v>192</v>
      </c>
      <c r="C142" s="4" t="s">
        <v>107</v>
      </c>
      <c r="D142" s="4" t="s">
        <v>79</v>
      </c>
      <c r="E142" s="4" t="s">
        <v>93</v>
      </c>
      <c r="F142" s="7" t="n">
        <v>377.766921856865</v>
      </c>
      <c r="G142" s="7" t="n">
        <v>143.58890610694</v>
      </c>
      <c r="H142" s="7" t="n">
        <v>125.681461750064</v>
      </c>
      <c r="I142" s="7" t="n">
        <v>344.739583593603</v>
      </c>
      <c r="J142" s="7" t="n">
        <v>229.064716213311</v>
      </c>
      <c r="K142" s="7" t="n">
        <v>340.514722217929</v>
      </c>
      <c r="L142" s="7" t="n">
        <v>253.482149911069</v>
      </c>
      <c r="M142" s="7" t="n">
        <v>134.150235410804</v>
      </c>
      <c r="N142" s="7" t="n">
        <v>275.027107199908</v>
      </c>
      <c r="O142" s="7" t="n">
        <v>189.353709353353</v>
      </c>
      <c r="P142" s="7" t="n">
        <v>284.240251294975</v>
      </c>
      <c r="Q142" s="7" t="n">
        <v>394.787853485463</v>
      </c>
      <c r="R142" s="7" t="n">
        <v>519.882455503408</v>
      </c>
      <c r="S142" s="7" t="n">
        <v>214.958851826963</v>
      </c>
      <c r="T142" s="7" t="n">
        <v>9.53375113525391</v>
      </c>
      <c r="U142" s="7" t="n">
        <v>13.762592578125</v>
      </c>
      <c r="V142" s="7" t="n">
        <v>15.7627508078661</v>
      </c>
      <c r="W142" s="7" t="n">
        <v>34.1481996459961</v>
      </c>
      <c r="X142" s="7" t="n">
        <v>20.9964848653397</v>
      </c>
      <c r="Y142" s="7" t="n">
        <v>16.6136614471077</v>
      </c>
      <c r="Z142" s="7" t="n">
        <v>31.7660934579647</v>
      </c>
      <c r="AA142" s="7" t="n">
        <v>38.305796484375</v>
      </c>
      <c r="AB142" s="7" t="n">
        <v>9.99908599853516</v>
      </c>
    </row>
    <row r="143" customFormat="false" ht="15" hidden="false" customHeight="false" outlineLevel="0" collapsed="false">
      <c r="A143" s="4" t="s">
        <v>193</v>
      </c>
      <c r="B143" s="4" t="s">
        <v>194</v>
      </c>
      <c r="C143" s="4" t="s">
        <v>101</v>
      </c>
      <c r="D143" s="4" t="s">
        <v>55</v>
      </c>
      <c r="E143" s="4" t="s">
        <v>91</v>
      </c>
      <c r="F143" s="7" t="n">
        <v>144.409341397815</v>
      </c>
      <c r="G143" s="7" t="n">
        <v>54.0772749906731</v>
      </c>
      <c r="H143" s="7" t="n">
        <v>52.5984959383129</v>
      </c>
      <c r="I143" s="7" t="n">
        <v>123.408746668288</v>
      </c>
      <c r="J143" s="7" t="n">
        <v>49.9930855048987</v>
      </c>
      <c r="K143" s="7" t="n">
        <v>36.0389907054279</v>
      </c>
      <c r="L143" s="7" t="n">
        <v>58.9857053134133</v>
      </c>
      <c r="M143" s="7" t="n">
        <v>55.5699120388078</v>
      </c>
      <c r="N143" s="7" t="n">
        <v>56.0879134809654</v>
      </c>
      <c r="O143" s="7" t="n">
        <v>112.239871516523</v>
      </c>
      <c r="P143" s="7" t="n">
        <v>85.6449736429744</v>
      </c>
      <c r="Q143" s="7" t="n">
        <v>433.13768389598</v>
      </c>
      <c r="R143" s="7" t="n">
        <v>142.48382276661</v>
      </c>
      <c r="S143" s="7" t="n">
        <v>166.77305776062</v>
      </c>
      <c r="T143" s="7" t="n">
        <v>47.804893016319</v>
      </c>
      <c r="U143" s="7" t="n">
        <v>57.9605102618971</v>
      </c>
      <c r="V143" s="7" t="n">
        <v>92.7326940390018</v>
      </c>
      <c r="W143" s="7" t="n">
        <v>101.079652868192</v>
      </c>
      <c r="X143" s="7" t="n">
        <v>28.8168348009297</v>
      </c>
      <c r="Y143" s="7" t="n">
        <v>9.18994815939911</v>
      </c>
      <c r="Z143" s="7" t="n">
        <v>14.8649631829785</v>
      </c>
      <c r="AA143" s="7" t="n">
        <v>2.51924400572755</v>
      </c>
      <c r="AB143" s="7" t="n">
        <v>13.9688270160807</v>
      </c>
    </row>
    <row r="144" customFormat="false" ht="15" hidden="false" customHeight="false" outlineLevel="0" collapsed="false">
      <c r="A144" s="4" t="s">
        <v>193</v>
      </c>
      <c r="B144" s="4" t="s">
        <v>194</v>
      </c>
      <c r="C144" s="4" t="s">
        <v>101</v>
      </c>
      <c r="D144" s="4" t="s">
        <v>55</v>
      </c>
      <c r="E144" s="4" t="s">
        <v>92</v>
      </c>
      <c r="F144" s="7" t="n">
        <v>0.302571277942297</v>
      </c>
      <c r="G144" s="7" t="n">
        <v>0.152490720206982</v>
      </c>
      <c r="H144" s="7" t="n">
        <v>0.171173184001558</v>
      </c>
      <c r="I144" s="7" t="n">
        <v>0.329698469651727</v>
      </c>
      <c r="J144" s="7" t="n">
        <v>0.295263611120791</v>
      </c>
      <c r="K144" s="7" t="n">
        <v>0.0361718901938291</v>
      </c>
      <c r="L144" s="7" t="n">
        <v>0.204455118428383</v>
      </c>
      <c r="M144" s="7" t="n">
        <v>0.218100251518514</v>
      </c>
      <c r="N144" s="7" t="n">
        <v>0.267440720862291</v>
      </c>
      <c r="O144" s="7" t="n">
        <v>0.106083375792267</v>
      </c>
      <c r="P144" s="7" t="n">
        <v>0.150943214145919</v>
      </c>
      <c r="Q144" s="7" t="n">
        <v>0.174610158118818</v>
      </c>
      <c r="R144" s="7" t="n">
        <v>0.135726573899307</v>
      </c>
      <c r="S144" s="7" t="n">
        <v>0.0402966666068649</v>
      </c>
      <c r="T144" s="7" t="n">
        <v>0.00883555718169658</v>
      </c>
      <c r="U144" s="7" t="n">
        <v>0.0226847558150991</v>
      </c>
      <c r="V144" s="7" t="n">
        <v>0.011155870522577</v>
      </c>
      <c r="W144" s="7" t="n">
        <v>0.00182245421741544</v>
      </c>
      <c r="X144" s="7" t="n">
        <v>0</v>
      </c>
      <c r="Y144" s="7" t="n">
        <v>0.245842681593536</v>
      </c>
      <c r="Z144" s="7" t="n">
        <v>0.578038281865269</v>
      </c>
      <c r="AA144" s="7" t="n">
        <v>0.189827417612299</v>
      </c>
      <c r="AB144" s="7" t="n">
        <v>0.570836741243533</v>
      </c>
    </row>
    <row r="145" customFormat="false" ht="15" hidden="false" customHeight="false" outlineLevel="0" collapsed="false">
      <c r="A145" s="4" t="s">
        <v>193</v>
      </c>
      <c r="B145" s="4" t="s">
        <v>194</v>
      </c>
      <c r="C145" s="4" t="s">
        <v>101</v>
      </c>
      <c r="D145" s="4" t="s">
        <v>55</v>
      </c>
      <c r="E145" s="4" t="s">
        <v>93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</row>
    <row r="146" customFormat="false" ht="15" hidden="false" customHeight="false" outlineLevel="0" collapsed="false">
      <c r="A146" s="4" t="s">
        <v>195</v>
      </c>
      <c r="B146" s="4" t="s">
        <v>196</v>
      </c>
      <c r="C146" s="4" t="s">
        <v>101</v>
      </c>
      <c r="D146" s="4" t="s">
        <v>75</v>
      </c>
      <c r="E146" s="4" t="s">
        <v>91</v>
      </c>
      <c r="F146" s="7" t="n">
        <v>1.61414205109421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</row>
    <row r="147" customFormat="false" ht="15" hidden="false" customHeight="false" outlineLevel="0" collapsed="false">
      <c r="A147" s="4" t="s">
        <v>195</v>
      </c>
      <c r="B147" s="4" t="s">
        <v>196</v>
      </c>
      <c r="C147" s="4" t="s">
        <v>101</v>
      </c>
      <c r="D147" s="4" t="s">
        <v>75</v>
      </c>
      <c r="E147" s="4" t="s">
        <v>92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</row>
    <row r="148" customFormat="false" ht="15" hidden="false" customHeight="false" outlineLevel="0" collapsed="false">
      <c r="A148" s="4" t="s">
        <v>195</v>
      </c>
      <c r="B148" s="4" t="s">
        <v>196</v>
      </c>
      <c r="C148" s="4" t="s">
        <v>101</v>
      </c>
      <c r="D148" s="4" t="s">
        <v>75</v>
      </c>
      <c r="E148" s="4" t="s">
        <v>93</v>
      </c>
      <c r="F148" s="7" t="n">
        <v>0.0226270529096938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</row>
    <row r="149" customFormat="false" ht="15" hidden="false" customHeight="false" outlineLevel="0" collapsed="false">
      <c r="A149" s="4" t="s">
        <v>197</v>
      </c>
      <c r="B149" s="4" t="s">
        <v>198</v>
      </c>
      <c r="C149" s="4" t="s">
        <v>104</v>
      </c>
      <c r="D149" s="4" t="s">
        <v>41</v>
      </c>
      <c r="E149" s="4" t="s">
        <v>91</v>
      </c>
      <c r="F149" s="7" t="n">
        <v>1260.98325491582</v>
      </c>
      <c r="G149" s="7" t="n">
        <v>2330.6918160034</v>
      </c>
      <c r="H149" s="7" t="n">
        <v>526.991005427773</v>
      </c>
      <c r="I149" s="7" t="n">
        <v>917.367095746496</v>
      </c>
      <c r="J149" s="7" t="n">
        <v>780.431525682756</v>
      </c>
      <c r="K149" s="7" t="n">
        <v>1064.27958493499</v>
      </c>
      <c r="L149" s="7" t="n">
        <v>922.634338181727</v>
      </c>
      <c r="M149" s="7" t="n">
        <v>898.715033925757</v>
      </c>
      <c r="N149" s="7" t="n">
        <v>3854.03023560578</v>
      </c>
      <c r="O149" s="7" t="n">
        <v>691.784210600012</v>
      </c>
      <c r="P149" s="7" t="n">
        <v>1839.10691398316</v>
      </c>
      <c r="Q149" s="7" t="n">
        <v>635.932238426753</v>
      </c>
      <c r="R149" s="7" t="n">
        <v>625.890632804697</v>
      </c>
      <c r="S149" s="7" t="n">
        <v>639.483606224413</v>
      </c>
      <c r="T149" s="7" t="n">
        <v>594.61269930104</v>
      </c>
      <c r="U149" s="7" t="n">
        <v>956.47093199798</v>
      </c>
      <c r="V149" s="7" t="n">
        <v>956.025789624096</v>
      </c>
      <c r="W149" s="7" t="n">
        <v>978.509904123152</v>
      </c>
      <c r="X149" s="7" t="n">
        <v>736.091876106785</v>
      </c>
      <c r="Y149" s="7" t="n">
        <v>0</v>
      </c>
      <c r="Z149" s="7" t="n">
        <v>62.2283002863065</v>
      </c>
      <c r="AA149" s="7" t="n">
        <v>0</v>
      </c>
      <c r="AB149" s="7" t="n">
        <v>22.0296027240447</v>
      </c>
    </row>
    <row r="150" customFormat="false" ht="15" hidden="false" customHeight="false" outlineLevel="0" collapsed="false">
      <c r="A150" s="4" t="s">
        <v>197</v>
      </c>
      <c r="B150" s="4" t="s">
        <v>198</v>
      </c>
      <c r="C150" s="4" t="s">
        <v>104</v>
      </c>
      <c r="D150" s="4" t="s">
        <v>41</v>
      </c>
      <c r="E150" s="4" t="s">
        <v>92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1298.22056925784</v>
      </c>
      <c r="R150" s="7" t="n">
        <v>0</v>
      </c>
      <c r="S150" s="7" t="n">
        <v>0</v>
      </c>
      <c r="T150" s="7" t="n">
        <v>1087.45857144553</v>
      </c>
      <c r="U150" s="7" t="n">
        <v>1971.67650022506</v>
      </c>
      <c r="V150" s="7" t="n">
        <v>1456.5087427729</v>
      </c>
      <c r="W150" s="7" t="n">
        <v>1813.19638866056</v>
      </c>
      <c r="X150" s="7" t="n">
        <v>1048.67379505554</v>
      </c>
      <c r="Y150" s="7" t="n">
        <v>1941.44100532944</v>
      </c>
      <c r="Z150" s="7" t="n">
        <v>1143.52059531395</v>
      </c>
      <c r="AA150" s="7" t="n">
        <v>1388.97484946372</v>
      </c>
      <c r="AB150" s="7" t="n">
        <v>836.773393263906</v>
      </c>
    </row>
    <row r="151" customFormat="false" ht="15" hidden="false" customHeight="false" outlineLevel="0" collapsed="false">
      <c r="A151" s="4" t="s">
        <v>197</v>
      </c>
      <c r="B151" s="4" t="s">
        <v>198</v>
      </c>
      <c r="C151" s="4" t="s">
        <v>104</v>
      </c>
      <c r="D151" s="4" t="s">
        <v>41</v>
      </c>
      <c r="E151" s="4" t="s">
        <v>93</v>
      </c>
      <c r="F151" s="7" t="n">
        <v>8248</v>
      </c>
      <c r="G151" s="7" t="n">
        <v>8248</v>
      </c>
      <c r="H151" s="7" t="n">
        <v>8027.87733502425</v>
      </c>
      <c r="I151" s="7" t="n">
        <v>8248</v>
      </c>
      <c r="J151" s="7" t="n">
        <v>8248</v>
      </c>
      <c r="K151" s="7" t="n">
        <v>8248</v>
      </c>
      <c r="L151" s="7" t="n">
        <v>8248</v>
      </c>
      <c r="M151" s="7" t="n">
        <v>5610.66666666667</v>
      </c>
      <c r="N151" s="7" t="n">
        <v>2973.33333333333</v>
      </c>
      <c r="O151" s="7" t="n">
        <v>335.999999999961</v>
      </c>
      <c r="P151" s="7" t="n">
        <v>335.999999999961</v>
      </c>
      <c r="Q151" s="7" t="n">
        <v>336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1076.66666666667</v>
      </c>
      <c r="W151" s="7" t="n">
        <v>1078.88888888884</v>
      </c>
      <c r="X151" s="7" t="n">
        <v>1078.51851851846</v>
      </c>
      <c r="Y151" s="7" t="n">
        <v>1078.02469135794</v>
      </c>
      <c r="Z151" s="7" t="n">
        <v>1078.70370370365</v>
      </c>
      <c r="AA151" s="7" t="n">
        <v>1078.51851851842</v>
      </c>
      <c r="AB151" s="7" t="n">
        <v>1078.41563786</v>
      </c>
    </row>
    <row r="152" customFormat="false" ht="15" hidden="false" customHeight="false" outlineLevel="0" collapsed="false">
      <c r="A152" s="4" t="s">
        <v>199</v>
      </c>
      <c r="B152" s="4" t="s">
        <v>200</v>
      </c>
      <c r="C152" s="4" t="s">
        <v>104</v>
      </c>
      <c r="D152" s="4" t="s">
        <v>41</v>
      </c>
      <c r="E152" s="4" t="s">
        <v>91</v>
      </c>
      <c r="F152" s="7" t="n">
        <v>23.1711746318982</v>
      </c>
      <c r="G152" s="7" t="n">
        <v>32.2222207810585</v>
      </c>
      <c r="H152" s="7" t="n">
        <v>3.77754931502196</v>
      </c>
      <c r="I152" s="7" t="n">
        <v>70.3334591805166</v>
      </c>
      <c r="J152" s="7" t="n">
        <v>20.5645758200702</v>
      </c>
      <c r="K152" s="7" t="n">
        <v>249.888464889017</v>
      </c>
      <c r="L152" s="7" t="n">
        <v>69.9725373103076</v>
      </c>
      <c r="M152" s="7" t="n">
        <v>67.6461274992236</v>
      </c>
      <c r="N152" s="7" t="n">
        <v>182.430664658684</v>
      </c>
      <c r="O152" s="7" t="n">
        <v>28.4726311157227</v>
      </c>
      <c r="P152" s="7" t="n">
        <v>112.856780576231</v>
      </c>
      <c r="Q152" s="7" t="n">
        <v>116.219259174491</v>
      </c>
      <c r="R152" s="7" t="n">
        <v>126.056609238526</v>
      </c>
      <c r="S152" s="7" t="n">
        <v>273.712099280456</v>
      </c>
      <c r="T152" s="7" t="n">
        <v>182.234864817569</v>
      </c>
      <c r="U152" s="7" t="n">
        <v>373.215071912004</v>
      </c>
      <c r="V152" s="7" t="n">
        <v>343.082456998698</v>
      </c>
      <c r="W152" s="7" t="n">
        <v>342.602242428529</v>
      </c>
      <c r="X152" s="7" t="n">
        <v>157.619525172406</v>
      </c>
      <c r="Y152" s="7" t="n">
        <v>127.732431730909</v>
      </c>
      <c r="Z152" s="7" t="n">
        <v>81.7130708387547</v>
      </c>
      <c r="AA152" s="7" t="n">
        <v>74.4174004656623</v>
      </c>
      <c r="AB152" s="7" t="n">
        <v>80.1381760221594</v>
      </c>
    </row>
    <row r="153" customFormat="false" ht="15" hidden="false" customHeight="false" outlineLevel="0" collapsed="false">
      <c r="A153" s="4" t="s">
        <v>199</v>
      </c>
      <c r="B153" s="4" t="s">
        <v>200</v>
      </c>
      <c r="C153" s="4" t="s">
        <v>104</v>
      </c>
      <c r="D153" s="4" t="s">
        <v>41</v>
      </c>
      <c r="E153" s="4" t="s">
        <v>92</v>
      </c>
      <c r="F153" s="7" t="n">
        <v>147.148201212835</v>
      </c>
      <c r="G153" s="7" t="n">
        <v>83.9647960969348</v>
      </c>
      <c r="H153" s="7" t="n">
        <v>12.8874983407954</v>
      </c>
      <c r="I153" s="7" t="n">
        <v>67.0699696187725</v>
      </c>
      <c r="J153" s="7" t="n">
        <v>65.4985268362934</v>
      </c>
      <c r="K153" s="7" t="n">
        <v>0</v>
      </c>
      <c r="L153" s="7" t="n">
        <v>0</v>
      </c>
      <c r="M153" s="7" t="n">
        <v>9.88408356305775</v>
      </c>
      <c r="N153" s="7" t="n">
        <v>31.4498272397889</v>
      </c>
      <c r="O153" s="7" t="n">
        <v>156.561280819972</v>
      </c>
      <c r="P153" s="7" t="n">
        <v>48.6614205794665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</row>
    <row r="154" customFormat="false" ht="15" hidden="false" customHeight="false" outlineLevel="0" collapsed="false">
      <c r="A154" s="4" t="s">
        <v>199</v>
      </c>
      <c r="B154" s="4" t="s">
        <v>200</v>
      </c>
      <c r="C154" s="4" t="s">
        <v>104</v>
      </c>
      <c r="D154" s="4" t="s">
        <v>41</v>
      </c>
      <c r="E154" s="4" t="s">
        <v>93</v>
      </c>
      <c r="F154" s="7" t="n">
        <v>26.9999999999997</v>
      </c>
      <c r="G154" s="7" t="n">
        <v>26.9999999999997</v>
      </c>
      <c r="H154" s="7" t="n">
        <v>27</v>
      </c>
      <c r="I154" s="7" t="n">
        <v>27.0000000000003</v>
      </c>
      <c r="J154" s="7" t="n">
        <v>27</v>
      </c>
      <c r="K154" s="7" t="n">
        <v>27</v>
      </c>
      <c r="L154" s="7" t="n">
        <v>26.9999999999997</v>
      </c>
      <c r="M154" s="7" t="n">
        <v>34</v>
      </c>
      <c r="N154" s="7" t="n">
        <v>41</v>
      </c>
      <c r="O154" s="7" t="n">
        <v>48</v>
      </c>
      <c r="P154" s="7" t="n">
        <v>48</v>
      </c>
      <c r="Q154" s="7" t="n">
        <v>48</v>
      </c>
      <c r="R154" s="7" t="n">
        <v>32</v>
      </c>
      <c r="S154" s="7" t="n">
        <v>32.6666666666667</v>
      </c>
      <c r="T154" s="7" t="n">
        <v>16.6666666666667</v>
      </c>
      <c r="U154" s="7" t="n">
        <v>16.6666666666667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</row>
    <row r="155" customFormat="false" ht="15" hidden="false" customHeight="false" outlineLevel="0" collapsed="false">
      <c r="A155" s="4" t="s">
        <v>201</v>
      </c>
      <c r="B155" s="4" t="s">
        <v>202</v>
      </c>
      <c r="C155" s="4" t="s">
        <v>101</v>
      </c>
      <c r="D155" s="4" t="s">
        <v>63</v>
      </c>
      <c r="E155" s="4" t="s">
        <v>91</v>
      </c>
      <c r="F155" s="7" t="n">
        <v>4532.99991852871</v>
      </c>
      <c r="G155" s="7" t="n">
        <v>4889.65650567203</v>
      </c>
      <c r="H155" s="7" t="n">
        <v>3865.90473271017</v>
      </c>
      <c r="I155" s="7" t="n">
        <v>3845.21933619893</v>
      </c>
      <c r="J155" s="7" t="n">
        <v>5716.33623552723</v>
      </c>
      <c r="K155" s="7" t="n">
        <v>4149.7950997894</v>
      </c>
      <c r="L155" s="7" t="n">
        <v>7103.34480674275</v>
      </c>
      <c r="M155" s="7" t="n">
        <v>11503.5997209395</v>
      </c>
      <c r="N155" s="7" t="n">
        <v>13244.0124793505</v>
      </c>
      <c r="O155" s="7" t="n">
        <v>7706.94156539461</v>
      </c>
      <c r="P155" s="7" t="n">
        <v>6477.31213428434</v>
      </c>
      <c r="Q155" s="7" t="n">
        <v>18983.7457430948</v>
      </c>
      <c r="R155" s="7" t="n">
        <v>12041.1231578417</v>
      </c>
      <c r="S155" s="7" t="n">
        <v>14221.3348155068</v>
      </c>
      <c r="T155" s="7" t="n">
        <v>4146.84418737075</v>
      </c>
      <c r="U155" s="7" t="n">
        <v>9279.65873030955</v>
      </c>
      <c r="V155" s="7" t="n">
        <v>8499.26690260318</v>
      </c>
      <c r="W155" s="7" t="n">
        <v>2876.15065932724</v>
      </c>
      <c r="X155" s="7" t="n">
        <v>3309.06695248318</v>
      </c>
      <c r="Y155" s="7" t="n">
        <v>1639.7475824502</v>
      </c>
      <c r="Z155" s="7" t="n">
        <v>0</v>
      </c>
      <c r="AA155" s="7" t="n">
        <v>2268.14497863299</v>
      </c>
      <c r="AB155" s="7" t="n">
        <v>4192.67967488232</v>
      </c>
    </row>
    <row r="156" customFormat="false" ht="15" hidden="false" customHeight="false" outlineLevel="0" collapsed="false">
      <c r="A156" s="4" t="s">
        <v>201</v>
      </c>
      <c r="B156" s="4" t="s">
        <v>202</v>
      </c>
      <c r="C156" s="4" t="s">
        <v>101</v>
      </c>
      <c r="D156" s="4" t="s">
        <v>63</v>
      </c>
      <c r="E156" s="4" t="s">
        <v>92</v>
      </c>
      <c r="F156" s="7" t="n">
        <v>76.8396328597717</v>
      </c>
      <c r="G156" s="7" t="n">
        <v>72.4917354064394</v>
      </c>
      <c r="H156" s="7" t="n">
        <v>62.0928944178515</v>
      </c>
      <c r="I156" s="7" t="n">
        <v>80.9113453045908</v>
      </c>
      <c r="J156" s="7" t="n">
        <v>191.280986940255</v>
      </c>
      <c r="K156" s="7" t="n">
        <v>234.181553817757</v>
      </c>
      <c r="L156" s="7" t="n">
        <v>417.730513403337</v>
      </c>
      <c r="M156" s="7" t="n">
        <v>180.99893844965</v>
      </c>
      <c r="N156" s="7" t="n">
        <v>235.835753536384</v>
      </c>
      <c r="O156" s="7" t="n">
        <v>161.387408463159</v>
      </c>
      <c r="P156" s="7" t="n">
        <v>120.937501086929</v>
      </c>
      <c r="Q156" s="7" t="n">
        <v>245.464367790333</v>
      </c>
      <c r="R156" s="7" t="n">
        <v>226.036718762101</v>
      </c>
      <c r="S156" s="7" t="n">
        <v>410.318837812226</v>
      </c>
      <c r="T156" s="7" t="n">
        <v>83.5755529141507</v>
      </c>
      <c r="U156" s="7" t="n">
        <v>308.537405257569</v>
      </c>
      <c r="V156" s="7" t="n">
        <v>519.652927752693</v>
      </c>
      <c r="W156" s="7" t="n">
        <v>240.126237682768</v>
      </c>
      <c r="X156" s="7" t="n">
        <v>682.04307425273</v>
      </c>
      <c r="Y156" s="7" t="n">
        <v>891.397328106446</v>
      </c>
      <c r="Z156" s="7" t="n">
        <v>3626.81667808988</v>
      </c>
      <c r="AA156" s="7" t="n">
        <v>1196.40793281358</v>
      </c>
      <c r="AB156" s="7" t="n">
        <v>3548.5813281466</v>
      </c>
    </row>
    <row r="157" customFormat="false" ht="15" hidden="false" customHeight="false" outlineLevel="0" collapsed="false">
      <c r="A157" s="4" t="s">
        <v>201</v>
      </c>
      <c r="B157" s="4" t="s">
        <v>202</v>
      </c>
      <c r="C157" s="4" t="s">
        <v>101</v>
      </c>
      <c r="D157" s="4" t="s">
        <v>63</v>
      </c>
      <c r="E157" s="4" t="s">
        <v>93</v>
      </c>
      <c r="F157" s="7" t="n">
        <v>134.247233743717</v>
      </c>
      <c r="G157" s="7" t="n">
        <v>102.125718990183</v>
      </c>
      <c r="H157" s="7" t="n">
        <v>105.066492200088</v>
      </c>
      <c r="I157" s="7" t="n">
        <v>133.58951719389</v>
      </c>
      <c r="J157" s="7" t="n">
        <v>234.21941810768</v>
      </c>
      <c r="K157" s="7" t="n">
        <v>150.730524750658</v>
      </c>
      <c r="L157" s="7" t="n">
        <v>184.464788391985</v>
      </c>
      <c r="M157" s="7" t="n">
        <v>146.514123670394</v>
      </c>
      <c r="N157" s="7" t="n">
        <v>114.788437216425</v>
      </c>
      <c r="O157" s="7" t="n">
        <v>155.208615202024</v>
      </c>
      <c r="P157" s="7" t="n">
        <v>130.445490173357</v>
      </c>
      <c r="Q157" s="7" t="n">
        <v>309.96510773609</v>
      </c>
      <c r="R157" s="7" t="n">
        <v>815.518027474715</v>
      </c>
      <c r="S157" s="7" t="n">
        <v>1105.5031773092</v>
      </c>
      <c r="T157" s="7" t="n">
        <v>101.438665799227</v>
      </c>
      <c r="U157" s="7" t="n">
        <v>430.655336138247</v>
      </c>
      <c r="V157" s="7" t="n">
        <v>587.640705686013</v>
      </c>
      <c r="W157" s="7" t="n">
        <v>454.049662242712</v>
      </c>
      <c r="X157" s="7" t="n">
        <v>603.650996425162</v>
      </c>
      <c r="Y157" s="7" t="n">
        <v>706.25696668275</v>
      </c>
      <c r="Z157" s="7" t="n">
        <v>698.274260255901</v>
      </c>
      <c r="AA157" s="7" t="n">
        <v>547.849567999108</v>
      </c>
      <c r="AB157" s="7" t="n">
        <v>686.011667420754</v>
      </c>
    </row>
    <row r="158" customFormat="false" ht="15" hidden="false" customHeight="false" outlineLevel="0" collapsed="false">
      <c r="A158" s="4" t="s">
        <v>203</v>
      </c>
      <c r="B158" s="4" t="s">
        <v>204</v>
      </c>
      <c r="C158" s="4" t="s">
        <v>104</v>
      </c>
      <c r="D158" s="4" t="s">
        <v>41</v>
      </c>
      <c r="E158" s="4" t="s">
        <v>91</v>
      </c>
      <c r="F158" s="7" t="n">
        <v>1309.83905245422</v>
      </c>
      <c r="G158" s="7" t="n">
        <v>946.624914858758</v>
      </c>
      <c r="H158" s="7" t="n">
        <v>684.546200385968</v>
      </c>
      <c r="I158" s="7" t="n">
        <v>992.885326551182</v>
      </c>
      <c r="J158" s="7" t="n">
        <v>3595.45928315547</v>
      </c>
      <c r="K158" s="7" t="n">
        <v>1353.0588611987</v>
      </c>
      <c r="L158" s="7" t="n">
        <v>826.165327826974</v>
      </c>
      <c r="M158" s="7" t="n">
        <v>1587.1788858245</v>
      </c>
      <c r="N158" s="7" t="n">
        <v>1990.82787952966</v>
      </c>
      <c r="O158" s="7" t="n">
        <v>1655.17587653876</v>
      </c>
      <c r="P158" s="7" t="n">
        <v>1406.26322299573</v>
      </c>
      <c r="Q158" s="7" t="n">
        <v>2723.21592901695</v>
      </c>
      <c r="R158" s="7" t="n">
        <v>2670.50847148988</v>
      </c>
      <c r="S158" s="7" t="n">
        <v>2110.33613374285</v>
      </c>
      <c r="T158" s="7" t="n">
        <v>1120.18452600885</v>
      </c>
      <c r="U158" s="7" t="n">
        <v>1055.98270074762</v>
      </c>
      <c r="V158" s="7" t="n">
        <v>1682.85385900485</v>
      </c>
      <c r="W158" s="7" t="n">
        <v>691.504077023387</v>
      </c>
      <c r="X158" s="7" t="n">
        <v>186.472192462158</v>
      </c>
      <c r="Y158" s="7" t="n">
        <v>466.759649023441</v>
      </c>
      <c r="Z158" s="7" t="n">
        <v>713.732784881306</v>
      </c>
      <c r="AA158" s="7" t="n">
        <v>805.125196971566</v>
      </c>
      <c r="AB158" s="7" t="n">
        <v>553.348989799526</v>
      </c>
    </row>
    <row r="159" customFormat="false" ht="15" hidden="false" customHeight="false" outlineLevel="0" collapsed="false">
      <c r="A159" s="4" t="s">
        <v>203</v>
      </c>
      <c r="B159" s="4" t="s">
        <v>204</v>
      </c>
      <c r="C159" s="4" t="s">
        <v>104</v>
      </c>
      <c r="D159" s="4" t="s">
        <v>41</v>
      </c>
      <c r="E159" s="4" t="s">
        <v>92</v>
      </c>
      <c r="F159" s="7" t="n">
        <v>676.074416964852</v>
      </c>
      <c r="G159" s="7" t="n">
        <v>604.305486127072</v>
      </c>
      <c r="H159" s="7" t="n">
        <v>526.405180144473</v>
      </c>
      <c r="I159" s="7" t="n">
        <v>691.430964253265</v>
      </c>
      <c r="J159" s="7" t="n">
        <v>1639.38341650716</v>
      </c>
      <c r="K159" s="7" t="n">
        <v>1246.02497369087</v>
      </c>
      <c r="L159" s="7" t="n">
        <v>775.857420184069</v>
      </c>
      <c r="M159" s="7" t="n">
        <v>1223.27881603041</v>
      </c>
      <c r="N159" s="7" t="n">
        <v>1849.7686244584</v>
      </c>
      <c r="O159" s="7" t="n">
        <v>1740.13795896572</v>
      </c>
      <c r="P159" s="7" t="n">
        <v>1472.38649428426</v>
      </c>
      <c r="Q159" s="7" t="n">
        <v>1560.92151574718</v>
      </c>
      <c r="R159" s="7" t="n">
        <v>906.508088842832</v>
      </c>
      <c r="S159" s="7" t="n">
        <v>1348.01410859778</v>
      </c>
      <c r="T159" s="7" t="n">
        <v>822.380004702841</v>
      </c>
      <c r="U159" s="7" t="n">
        <v>1198.06435273206</v>
      </c>
      <c r="V159" s="7" t="n">
        <v>1398.22150969097</v>
      </c>
      <c r="W159" s="7" t="n">
        <v>1240.25974809582</v>
      </c>
      <c r="X159" s="7" t="n">
        <v>1165.9813175769</v>
      </c>
      <c r="Y159" s="7" t="n">
        <v>511.87025700949</v>
      </c>
      <c r="Z159" s="7" t="n">
        <v>324.370130761119</v>
      </c>
      <c r="AA159" s="7" t="n">
        <v>176.301453958898</v>
      </c>
      <c r="AB159" s="7" t="n">
        <v>244.294056909386</v>
      </c>
    </row>
    <row r="160" customFormat="false" ht="15" hidden="false" customHeight="false" outlineLevel="0" collapsed="false">
      <c r="A160" s="4" t="s">
        <v>203</v>
      </c>
      <c r="B160" s="4" t="s">
        <v>204</v>
      </c>
      <c r="C160" s="4" t="s">
        <v>104</v>
      </c>
      <c r="D160" s="4" t="s">
        <v>41</v>
      </c>
      <c r="E160" s="4" t="s">
        <v>93</v>
      </c>
      <c r="F160" s="7" t="n">
        <v>866.999999999999</v>
      </c>
      <c r="G160" s="7" t="n">
        <v>867</v>
      </c>
      <c r="H160" s="7" t="n">
        <v>867</v>
      </c>
      <c r="I160" s="7" t="n">
        <v>867</v>
      </c>
      <c r="J160" s="7" t="n">
        <v>866.999999999999</v>
      </c>
      <c r="K160" s="7" t="n">
        <v>867.000000000001</v>
      </c>
      <c r="L160" s="7" t="n">
        <v>867</v>
      </c>
      <c r="M160" s="7" t="n">
        <v>594.666666666668</v>
      </c>
      <c r="N160" s="7" t="n">
        <v>322.333333333332</v>
      </c>
      <c r="O160" s="7" t="n">
        <v>50</v>
      </c>
      <c r="P160" s="7" t="n">
        <v>50</v>
      </c>
      <c r="Q160" s="7" t="n">
        <v>50</v>
      </c>
      <c r="R160" s="7" t="n">
        <v>33.3333333333333</v>
      </c>
      <c r="S160" s="7" t="n">
        <v>16.6666666666667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</row>
    <row r="161" customFormat="false" ht="15" hidden="false" customHeight="false" outlineLevel="0" collapsed="false">
      <c r="A161" s="4" t="s">
        <v>205</v>
      </c>
      <c r="B161" s="4" t="s">
        <v>206</v>
      </c>
      <c r="C161" s="4" t="s">
        <v>115</v>
      </c>
      <c r="D161" s="4" t="s">
        <v>39</v>
      </c>
      <c r="E161" s="4" t="s">
        <v>91</v>
      </c>
      <c r="F161" s="7" t="n">
        <v>34.5530692504883</v>
      </c>
      <c r="G161" s="7" t="n">
        <v>31.3770548706055</v>
      </c>
      <c r="H161" s="7" t="n">
        <v>32.218102532959</v>
      </c>
      <c r="I161" s="7" t="n">
        <v>12.9240043945312</v>
      </c>
      <c r="J161" s="7" t="n">
        <v>6.90137149658203</v>
      </c>
      <c r="K161" s="7" t="n">
        <v>6.53311408081054</v>
      </c>
      <c r="L161" s="7" t="n">
        <v>12.032786517334</v>
      </c>
      <c r="M161" s="7" t="n">
        <v>21.4474949157715</v>
      </c>
      <c r="N161" s="7" t="n">
        <v>36.6349365600586</v>
      </c>
      <c r="O161" s="7" t="n">
        <v>39.9511398498535</v>
      </c>
      <c r="P161" s="7" t="n">
        <v>4.55007799072266</v>
      </c>
      <c r="Q161" s="7" t="n">
        <v>29.1410843261719</v>
      </c>
      <c r="R161" s="7" t="n">
        <v>68.9876223327637</v>
      </c>
      <c r="S161" s="7" t="n">
        <v>48.4020793273926</v>
      </c>
      <c r="T161" s="7" t="n">
        <v>15.1699635620117</v>
      </c>
      <c r="U161" s="7" t="n">
        <v>50.379957043457</v>
      </c>
      <c r="V161" s="7" t="n">
        <v>27.0904995544434</v>
      </c>
      <c r="W161" s="7" t="n">
        <v>10.4779559265137</v>
      </c>
      <c r="X161" s="7" t="n">
        <v>4.40533768920898</v>
      </c>
      <c r="Y161" s="7" t="n">
        <v>40.4558138966734</v>
      </c>
      <c r="Z161" s="7" t="n">
        <v>36.7795638121126</v>
      </c>
      <c r="AA161" s="7" t="n">
        <v>18.2204539561764</v>
      </c>
      <c r="AB161" s="7" t="n">
        <v>13.4586374297669</v>
      </c>
    </row>
    <row r="162" customFormat="false" ht="15" hidden="false" customHeight="false" outlineLevel="0" collapsed="false">
      <c r="A162" s="4" t="s">
        <v>205</v>
      </c>
      <c r="B162" s="4" t="s">
        <v>206</v>
      </c>
      <c r="C162" s="4" t="s">
        <v>115</v>
      </c>
      <c r="D162" s="4" t="s">
        <v>39</v>
      </c>
      <c r="E162" s="4" t="s">
        <v>92</v>
      </c>
      <c r="F162" s="7" t="n">
        <v>21.2020430113762</v>
      </c>
      <c r="G162" s="7" t="n">
        <v>10.3708455772712</v>
      </c>
      <c r="H162" s="7" t="n">
        <v>15.5300048554831</v>
      </c>
      <c r="I162" s="7" t="n">
        <v>36.5816901251019</v>
      </c>
      <c r="J162" s="7" t="n">
        <v>24.5912310388137</v>
      </c>
      <c r="K162" s="7" t="n">
        <v>33.1289190349311</v>
      </c>
      <c r="L162" s="7" t="n">
        <v>23.5009882536788</v>
      </c>
      <c r="M162" s="7" t="n">
        <v>27.0961995720688</v>
      </c>
      <c r="N162" s="7" t="n">
        <v>17.0292551907745</v>
      </c>
      <c r="O162" s="7" t="n">
        <v>23.6860355990091</v>
      </c>
      <c r="P162" s="7" t="n">
        <v>6.21902469074246</v>
      </c>
      <c r="Q162" s="7" t="n">
        <v>23.2412480843402</v>
      </c>
      <c r="R162" s="7" t="n">
        <v>41.7429508781341</v>
      </c>
      <c r="S162" s="7" t="n">
        <v>58.286142428297</v>
      </c>
      <c r="T162" s="7" t="n">
        <v>51.7170906733597</v>
      </c>
      <c r="U162" s="7" t="n">
        <v>71.4949434602038</v>
      </c>
      <c r="V162" s="7" t="n">
        <v>47.7884159147181</v>
      </c>
      <c r="W162" s="7" t="n">
        <v>18.2385106007651</v>
      </c>
      <c r="X162" s="7" t="n">
        <v>19.0548743790572</v>
      </c>
      <c r="Y162" s="7" t="n">
        <v>14.8324000888792</v>
      </c>
      <c r="Z162" s="7" t="n">
        <v>13.7143717753687</v>
      </c>
      <c r="AA162" s="7" t="n">
        <v>7.215330593402</v>
      </c>
      <c r="AB162" s="7" t="n">
        <v>5.15163657755992</v>
      </c>
    </row>
    <row r="163" customFormat="false" ht="15" hidden="false" customHeight="false" outlineLevel="0" collapsed="false">
      <c r="A163" s="4" t="s">
        <v>205</v>
      </c>
      <c r="B163" s="4" t="s">
        <v>206</v>
      </c>
      <c r="C163" s="4" t="s">
        <v>115</v>
      </c>
      <c r="D163" s="4" t="s">
        <v>39</v>
      </c>
      <c r="E163" s="4" t="s">
        <v>93</v>
      </c>
      <c r="F163" s="7" t="n">
        <v>365.618038549904</v>
      </c>
      <c r="G163" s="7" t="n">
        <v>168.398039596978</v>
      </c>
      <c r="H163" s="7" t="n">
        <v>419.363957534846</v>
      </c>
      <c r="I163" s="7" t="n">
        <v>534.12060590261</v>
      </c>
      <c r="J163" s="7" t="n">
        <v>505.630835993824</v>
      </c>
      <c r="K163" s="7" t="n">
        <v>447.921796219382</v>
      </c>
      <c r="L163" s="7" t="n">
        <v>379.011625770166</v>
      </c>
      <c r="M163" s="7" t="n">
        <v>339.974944714275</v>
      </c>
      <c r="N163" s="7" t="n">
        <v>274.086451334506</v>
      </c>
      <c r="O163" s="7" t="n">
        <v>451.590608716176</v>
      </c>
      <c r="P163" s="7" t="n">
        <v>156.16674271555</v>
      </c>
      <c r="Q163" s="7" t="n">
        <v>208.11974240205</v>
      </c>
      <c r="R163" s="7" t="n">
        <v>553.168339584393</v>
      </c>
      <c r="S163" s="7" t="n">
        <v>587.149694854202</v>
      </c>
      <c r="T163" s="7" t="n">
        <v>355.835369878422</v>
      </c>
      <c r="U163" s="7" t="n">
        <v>1063.54763729694</v>
      </c>
      <c r="V163" s="7" t="n">
        <v>1686.4354638317</v>
      </c>
      <c r="W163" s="7" t="n">
        <v>461.558332668996</v>
      </c>
      <c r="X163" s="7" t="n">
        <v>1016.28475180929</v>
      </c>
      <c r="Y163" s="7" t="n">
        <v>1154.17576450566</v>
      </c>
      <c r="Z163" s="7" t="n">
        <v>4069.99999999999</v>
      </c>
      <c r="AA163" s="7" t="n">
        <v>633.888935273923</v>
      </c>
      <c r="AB163" s="7" t="n">
        <v>466.875235012664</v>
      </c>
    </row>
    <row r="164" customFormat="false" ht="15" hidden="false" customHeight="false" outlineLevel="0" collapsed="false">
      <c r="A164" s="4" t="s">
        <v>207</v>
      </c>
      <c r="B164" s="4" t="s">
        <v>208</v>
      </c>
      <c r="C164" s="4" t="s">
        <v>104</v>
      </c>
      <c r="D164" s="4" t="s">
        <v>41</v>
      </c>
      <c r="E164" s="4" t="s">
        <v>91</v>
      </c>
      <c r="F164" s="7" t="n">
        <v>5119.54519884757</v>
      </c>
      <c r="G164" s="7" t="n">
        <v>1846.47736668906</v>
      </c>
      <c r="H164" s="7" t="n">
        <v>1857.91243248802</v>
      </c>
      <c r="I164" s="7" t="n">
        <v>3300.43105857641</v>
      </c>
      <c r="J164" s="7" t="n">
        <v>635.058248010278</v>
      </c>
      <c r="K164" s="7" t="n">
        <v>706.850642502908</v>
      </c>
      <c r="L164" s="7" t="n">
        <v>1937.0290286135</v>
      </c>
      <c r="M164" s="7" t="n">
        <v>3480.72001331683</v>
      </c>
      <c r="N164" s="7" t="n">
        <v>2850.38930863389</v>
      </c>
      <c r="O164" s="7" t="n">
        <v>3333.9883434957</v>
      </c>
      <c r="P164" s="7" t="n">
        <v>2345.14645457611</v>
      </c>
      <c r="Q164" s="7" t="n">
        <v>3247.53285873086</v>
      </c>
      <c r="R164" s="7" t="n">
        <v>953.408736265151</v>
      </c>
      <c r="S164" s="7" t="n">
        <v>1299.83586063788</v>
      </c>
      <c r="T164" s="7" t="n">
        <v>427.260150721723</v>
      </c>
      <c r="U164" s="7" t="n">
        <v>876.801298007489</v>
      </c>
      <c r="V164" s="7" t="n">
        <v>1357.37196308582</v>
      </c>
      <c r="W164" s="7" t="n">
        <v>1472.39043766227</v>
      </c>
      <c r="X164" s="7" t="n">
        <v>421.611066998411</v>
      </c>
      <c r="Y164" s="7" t="n">
        <v>0</v>
      </c>
      <c r="Z164" s="7" t="n">
        <v>0</v>
      </c>
      <c r="AA164" s="7" t="n">
        <v>0</v>
      </c>
      <c r="AB164" s="7" t="n">
        <v>0</v>
      </c>
    </row>
    <row r="165" customFormat="false" ht="15" hidden="false" customHeight="false" outlineLevel="0" collapsed="false">
      <c r="A165" s="4" t="s">
        <v>207</v>
      </c>
      <c r="B165" s="4" t="s">
        <v>208</v>
      </c>
      <c r="C165" s="4" t="s">
        <v>104</v>
      </c>
      <c r="D165" s="4" t="s">
        <v>41</v>
      </c>
      <c r="E165" s="4" t="s">
        <v>92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713.987008538328</v>
      </c>
      <c r="U165" s="7" t="n">
        <v>1071.50858835836</v>
      </c>
      <c r="V165" s="7" t="n">
        <v>1179.80672564302</v>
      </c>
      <c r="W165" s="7" t="n">
        <v>1080.72596642311</v>
      </c>
      <c r="X165" s="7" t="n">
        <v>1166.14024700441</v>
      </c>
      <c r="Y165" s="7" t="n">
        <v>1062.74414146757</v>
      </c>
      <c r="Z165" s="7" t="n">
        <v>1393.43374881708</v>
      </c>
      <c r="AA165" s="7" t="n">
        <v>743.960268107719</v>
      </c>
      <c r="AB165" s="7" t="n">
        <v>1065.53192907365</v>
      </c>
    </row>
    <row r="166" customFormat="false" ht="15" hidden="false" customHeight="false" outlineLevel="0" collapsed="false">
      <c r="A166" s="4" t="s">
        <v>207</v>
      </c>
      <c r="B166" s="4" t="s">
        <v>208</v>
      </c>
      <c r="C166" s="4" t="s">
        <v>104</v>
      </c>
      <c r="D166" s="4" t="s">
        <v>41</v>
      </c>
      <c r="E166" s="4" t="s">
        <v>93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</row>
    <row r="167" customFormat="false" ht="15" hidden="false" customHeight="false" outlineLevel="0" collapsed="false">
      <c r="A167" s="4" t="s">
        <v>209</v>
      </c>
      <c r="B167" s="4" t="s">
        <v>210</v>
      </c>
      <c r="C167" s="4" t="s">
        <v>115</v>
      </c>
      <c r="D167" s="4" t="s">
        <v>39</v>
      </c>
      <c r="E167" s="4" t="s">
        <v>91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1.84077511337653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</row>
    <row r="168" customFormat="false" ht="15" hidden="false" customHeight="false" outlineLevel="0" collapsed="false">
      <c r="A168" s="4" t="s">
        <v>209</v>
      </c>
      <c r="B168" s="4" t="s">
        <v>210</v>
      </c>
      <c r="C168" s="4" t="s">
        <v>115</v>
      </c>
      <c r="D168" s="4" t="s">
        <v>39</v>
      </c>
      <c r="E168" s="4" t="s">
        <v>92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0.468527111677343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</row>
    <row r="169" customFormat="false" ht="15" hidden="false" customHeight="false" outlineLevel="0" collapsed="false">
      <c r="A169" s="4" t="s">
        <v>209</v>
      </c>
      <c r="B169" s="4" t="s">
        <v>210</v>
      </c>
      <c r="C169" s="4" t="s">
        <v>115</v>
      </c>
      <c r="D169" s="4" t="s">
        <v>39</v>
      </c>
      <c r="E169" s="4" t="s">
        <v>93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</row>
    <row r="170" customFormat="false" ht="15" hidden="false" customHeight="false" outlineLevel="0" collapsed="false">
      <c r="A170" s="4" t="s">
        <v>211</v>
      </c>
      <c r="B170" s="4" t="s">
        <v>212</v>
      </c>
      <c r="C170" s="4" t="s">
        <v>101</v>
      </c>
      <c r="D170" s="4" t="s">
        <v>59</v>
      </c>
      <c r="E170" s="4" t="s">
        <v>91</v>
      </c>
      <c r="F170" s="7" t="n">
        <v>1.61496511230469</v>
      </c>
      <c r="G170" s="7" t="n">
        <v>234.998286921602</v>
      </c>
      <c r="H170" s="7" t="n">
        <v>135.460141644287</v>
      </c>
      <c r="I170" s="7" t="n">
        <v>1.15328120727539</v>
      </c>
      <c r="J170" s="7" t="n">
        <v>623.547323919526</v>
      </c>
      <c r="K170" s="7" t="n">
        <v>2739.29660148546</v>
      </c>
      <c r="L170" s="7" t="n">
        <v>3894.63347506145</v>
      </c>
      <c r="M170" s="7" t="n">
        <v>3726.64679945813</v>
      </c>
      <c r="N170" s="7" t="n">
        <v>2526.54794510916</v>
      </c>
      <c r="O170" s="7" t="n">
        <v>984.716944003755</v>
      </c>
      <c r="P170" s="7" t="n">
        <v>2105.34322816041</v>
      </c>
      <c r="Q170" s="7" t="n">
        <v>1776.59793121289</v>
      </c>
      <c r="R170" s="7" t="n">
        <v>2592.38628178976</v>
      </c>
      <c r="S170" s="7" t="n">
        <v>6682.66666666667</v>
      </c>
      <c r="T170" s="7" t="n">
        <v>7290.33333333333</v>
      </c>
      <c r="U170" s="7" t="n">
        <v>13261.3333333333</v>
      </c>
      <c r="V170" s="7" t="n">
        <v>13819</v>
      </c>
      <c r="W170" s="7" t="n">
        <v>13507.6666666667</v>
      </c>
      <c r="X170" s="7" t="n">
        <v>8229.40556316143</v>
      </c>
      <c r="Y170" s="7" t="n">
        <v>3325.11560315301</v>
      </c>
      <c r="Z170" s="7" t="n">
        <v>2400.83622489229</v>
      </c>
      <c r="AA170" s="7" t="n">
        <v>2657</v>
      </c>
      <c r="AB170" s="7" t="n">
        <v>2794.48153611716</v>
      </c>
    </row>
    <row r="171" customFormat="false" ht="15" hidden="false" customHeight="false" outlineLevel="0" collapsed="false">
      <c r="A171" s="4" t="s">
        <v>211</v>
      </c>
      <c r="B171" s="4" t="s">
        <v>212</v>
      </c>
      <c r="C171" s="4" t="s">
        <v>101</v>
      </c>
      <c r="D171" s="4" t="s">
        <v>59</v>
      </c>
      <c r="E171" s="4" t="s">
        <v>92</v>
      </c>
      <c r="F171" s="7" t="n">
        <v>8836.45007117882</v>
      </c>
      <c r="G171" s="7" t="n">
        <v>8583.40082064894</v>
      </c>
      <c r="H171" s="7" t="n">
        <v>8450.38903836129</v>
      </c>
      <c r="I171" s="7" t="n">
        <v>7616.74909128191</v>
      </c>
      <c r="J171" s="7" t="n">
        <v>7474.19150953669</v>
      </c>
      <c r="K171" s="7" t="n">
        <v>7429.12899640084</v>
      </c>
      <c r="L171" s="7" t="n">
        <v>7110.75845691717</v>
      </c>
      <c r="M171" s="7" t="n">
        <v>8801.88576701113</v>
      </c>
      <c r="N171" s="7" t="n">
        <v>10063.5896533988</v>
      </c>
      <c r="O171" s="7" t="n">
        <v>7117.98166657426</v>
      </c>
      <c r="P171" s="7" t="n">
        <v>8879.51581169693</v>
      </c>
      <c r="Q171" s="7" t="n">
        <v>5355.17872159827</v>
      </c>
      <c r="R171" s="7" t="n">
        <v>1165.85891246335</v>
      </c>
      <c r="S171" s="7" t="n">
        <v>2845.52925044268</v>
      </c>
      <c r="T171" s="7" t="n">
        <v>2749.59620822411</v>
      </c>
      <c r="U171" s="7" t="n">
        <v>4825.24278491075</v>
      </c>
      <c r="V171" s="7" t="n">
        <v>4540.55098942586</v>
      </c>
      <c r="W171" s="7" t="n">
        <v>4530.60314114754</v>
      </c>
      <c r="X171" s="7" t="n">
        <v>2865.03408159985</v>
      </c>
      <c r="Y171" s="7" t="n">
        <v>1975.56259170873</v>
      </c>
      <c r="Z171" s="7" t="n">
        <v>1750.24119011429</v>
      </c>
      <c r="AA171" s="7" t="n">
        <v>2250.30568276794</v>
      </c>
      <c r="AB171" s="7" t="n">
        <v>1992.03648819698</v>
      </c>
    </row>
    <row r="172" customFormat="false" ht="15" hidden="false" customHeight="false" outlineLevel="0" collapsed="false">
      <c r="A172" s="4" t="s">
        <v>211</v>
      </c>
      <c r="B172" s="4" t="s">
        <v>212</v>
      </c>
      <c r="C172" s="4" t="s">
        <v>101</v>
      </c>
      <c r="D172" s="4" t="s">
        <v>59</v>
      </c>
      <c r="E172" s="4" t="s">
        <v>93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</row>
    <row r="173" customFormat="false" ht="15" hidden="false" customHeight="false" outlineLevel="0" collapsed="false">
      <c r="A173" s="4" t="s">
        <v>213</v>
      </c>
      <c r="B173" s="4" t="s">
        <v>214</v>
      </c>
      <c r="C173" s="4" t="s">
        <v>104</v>
      </c>
      <c r="D173" s="4" t="s">
        <v>41</v>
      </c>
      <c r="E173" s="4" t="s">
        <v>91</v>
      </c>
      <c r="F173" s="7" t="n">
        <v>5502.21497922602</v>
      </c>
      <c r="G173" s="7" t="n">
        <v>1294.41223264073</v>
      </c>
      <c r="H173" s="7" t="n">
        <v>123.916070326635</v>
      </c>
      <c r="I173" s="7" t="n">
        <v>874.855716004323</v>
      </c>
      <c r="J173" s="7" t="n">
        <v>419.468242103316</v>
      </c>
      <c r="K173" s="7" t="n">
        <v>1504.8635845133</v>
      </c>
      <c r="L173" s="7" t="n">
        <v>572.515780773926</v>
      </c>
      <c r="M173" s="7" t="n">
        <v>851.722708315334</v>
      </c>
      <c r="N173" s="7" t="n">
        <v>1455.76682495479</v>
      </c>
      <c r="O173" s="7" t="n">
        <v>1273.25228883426</v>
      </c>
      <c r="P173" s="7" t="n">
        <v>623.108941333247</v>
      </c>
      <c r="Q173" s="7" t="n">
        <v>320.008467131001</v>
      </c>
      <c r="R173" s="7" t="n">
        <v>121.445710765668</v>
      </c>
      <c r="S173" s="7" t="n">
        <v>157.947585200076</v>
      </c>
      <c r="T173" s="7" t="n">
        <v>110.729678331943</v>
      </c>
      <c r="U173" s="7" t="n">
        <v>258.537165577534</v>
      </c>
      <c r="V173" s="7" t="n">
        <v>388.427380273761</v>
      </c>
      <c r="W173" s="7" t="n">
        <v>401.804698159359</v>
      </c>
      <c r="X173" s="7" t="n">
        <v>194.903797447833</v>
      </c>
      <c r="Y173" s="7" t="n">
        <v>96.4466692172301</v>
      </c>
      <c r="Z173" s="7" t="n">
        <v>117.389462089365</v>
      </c>
      <c r="AA173" s="7" t="n">
        <v>225.058021949295</v>
      </c>
      <c r="AB173" s="7" t="n">
        <v>71.1689607208252</v>
      </c>
    </row>
    <row r="174" customFormat="false" ht="15" hidden="false" customHeight="false" outlineLevel="0" collapsed="false">
      <c r="A174" s="4" t="s">
        <v>213</v>
      </c>
      <c r="B174" s="4" t="s">
        <v>214</v>
      </c>
      <c r="C174" s="4" t="s">
        <v>104</v>
      </c>
      <c r="D174" s="4" t="s">
        <v>41</v>
      </c>
      <c r="E174" s="4" t="s">
        <v>92</v>
      </c>
      <c r="F174" s="7" t="n">
        <v>466.579176987817</v>
      </c>
      <c r="G174" s="7" t="n">
        <v>783.578407611085</v>
      </c>
      <c r="H174" s="7" t="n">
        <v>45.6008409999815</v>
      </c>
      <c r="I174" s="7" t="n">
        <v>415.84269845767</v>
      </c>
      <c r="J174" s="7" t="n">
        <v>451.816333146413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491.1085548814</v>
      </c>
      <c r="R174" s="7" t="n">
        <v>359.136111218824</v>
      </c>
      <c r="S174" s="7" t="n">
        <v>377.615255618418</v>
      </c>
      <c r="T174" s="7" t="n">
        <v>93.7125182145919</v>
      </c>
      <c r="U174" s="7" t="n">
        <v>70.9938644202758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</row>
    <row r="175" customFormat="false" ht="15" hidden="false" customHeight="false" outlineLevel="0" collapsed="false">
      <c r="A175" s="4" t="s">
        <v>213</v>
      </c>
      <c r="B175" s="4" t="s">
        <v>214</v>
      </c>
      <c r="C175" s="4" t="s">
        <v>104</v>
      </c>
      <c r="D175" s="4" t="s">
        <v>41</v>
      </c>
      <c r="E175" s="4" t="s">
        <v>93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</row>
    <row r="176" customFormat="false" ht="15" hidden="false" customHeight="false" outlineLevel="0" collapsed="false">
      <c r="A176" s="4" t="s">
        <v>215</v>
      </c>
      <c r="B176" s="4" t="s">
        <v>216</v>
      </c>
      <c r="C176" s="4" t="s">
        <v>99</v>
      </c>
      <c r="D176" s="4" t="s">
        <v>43</v>
      </c>
      <c r="E176" s="4" t="s">
        <v>91</v>
      </c>
      <c r="F176" s="7" t="n">
        <v>14.7313778729368</v>
      </c>
      <c r="G176" s="7" t="n">
        <v>2.05646262207031</v>
      </c>
      <c r="H176" s="7" t="n">
        <v>0.798853887939453</v>
      </c>
      <c r="I176" s="7" t="n">
        <v>191.841613878537</v>
      </c>
      <c r="J176" s="7" t="n">
        <v>89.0947752029099</v>
      </c>
      <c r="K176" s="7" t="n">
        <v>11.5449706199458</v>
      </c>
      <c r="L176" s="7" t="n">
        <v>1.78223023071289</v>
      </c>
      <c r="M176" s="7" t="n">
        <v>1.20480454101563</v>
      </c>
      <c r="N176" s="7" t="n">
        <v>0.572014770507813</v>
      </c>
      <c r="O176" s="7" t="n">
        <v>169.834531224007</v>
      </c>
      <c r="P176" s="7" t="n">
        <v>0.289098748779297</v>
      </c>
      <c r="Q176" s="7" t="n">
        <v>6.04952956542969</v>
      </c>
      <c r="R176" s="7" t="n">
        <v>0.624910339355469</v>
      </c>
      <c r="S176" s="7" t="n">
        <v>0.864267144775391</v>
      </c>
      <c r="T176" s="7" t="n">
        <v>2.731119140625</v>
      </c>
      <c r="U176" s="7" t="n">
        <v>17.0308612121582</v>
      </c>
      <c r="V176" s="7" t="n">
        <v>23.959560205409</v>
      </c>
      <c r="W176" s="7" t="n">
        <v>30.5463666719526</v>
      </c>
      <c r="X176" s="7" t="n">
        <v>10.3853095126098</v>
      </c>
      <c r="Y176" s="7" t="n">
        <v>0</v>
      </c>
      <c r="Z176" s="7" t="n">
        <v>0</v>
      </c>
      <c r="AA176" s="7" t="n">
        <v>0</v>
      </c>
      <c r="AB176" s="7" t="n">
        <v>0</v>
      </c>
    </row>
    <row r="177" customFormat="false" ht="15" hidden="false" customHeight="false" outlineLevel="0" collapsed="false">
      <c r="A177" s="4" t="s">
        <v>215</v>
      </c>
      <c r="B177" s="4" t="s">
        <v>216</v>
      </c>
      <c r="C177" s="4" t="s">
        <v>99</v>
      </c>
      <c r="D177" s="4" t="s">
        <v>43</v>
      </c>
      <c r="E177" s="4" t="s">
        <v>92</v>
      </c>
      <c r="F177" s="7" t="n">
        <v>134.194786212806</v>
      </c>
      <c r="G177" s="7" t="n">
        <v>96.7306286244428</v>
      </c>
      <c r="H177" s="7" t="n">
        <v>88.9651667071838</v>
      </c>
      <c r="I177" s="7" t="n">
        <v>10.7734060996086</v>
      </c>
      <c r="J177" s="7" t="n">
        <v>25.4073054003715</v>
      </c>
      <c r="K177" s="7" t="n">
        <v>50.3466822947967</v>
      </c>
      <c r="L177" s="7" t="n">
        <v>85.3294718930052</v>
      </c>
      <c r="M177" s="7" t="n">
        <v>73.7099203926128</v>
      </c>
      <c r="N177" s="7" t="n">
        <v>75.238024154512</v>
      </c>
      <c r="O177" s="7" t="n">
        <v>17.3015206708834</v>
      </c>
      <c r="P177" s="7" t="n">
        <v>84.5759962301097</v>
      </c>
      <c r="Q177" s="7" t="n">
        <v>115.7149225326</v>
      </c>
      <c r="R177" s="7" t="n">
        <v>103.348749731445</v>
      </c>
      <c r="S177" s="7" t="n">
        <v>28.9847768432617</v>
      </c>
      <c r="T177" s="7" t="n">
        <v>12.0227636657715</v>
      </c>
      <c r="U177" s="7" t="n">
        <v>83.5799629760742</v>
      </c>
      <c r="V177" s="7" t="n">
        <v>18.6509991167897</v>
      </c>
      <c r="W177" s="7" t="n">
        <v>6.37160583333712</v>
      </c>
      <c r="X177" s="7" t="n">
        <v>4.14781693392345</v>
      </c>
      <c r="Y177" s="7" t="n">
        <v>20.7382551972513</v>
      </c>
      <c r="Z177" s="7" t="n">
        <v>47.5397337156528</v>
      </c>
      <c r="AA177" s="7" t="n">
        <v>27.4816583679199</v>
      </c>
      <c r="AB177" s="7" t="n">
        <v>25.1141287109375</v>
      </c>
    </row>
    <row r="178" customFormat="false" ht="15" hidden="false" customHeight="false" outlineLevel="0" collapsed="false">
      <c r="A178" s="4" t="s">
        <v>215</v>
      </c>
      <c r="B178" s="4" t="s">
        <v>216</v>
      </c>
      <c r="C178" s="4" t="s">
        <v>99</v>
      </c>
      <c r="D178" s="4" t="s">
        <v>43</v>
      </c>
      <c r="E178" s="4" t="s">
        <v>93</v>
      </c>
      <c r="F178" s="7" t="n">
        <v>44.1066767661648</v>
      </c>
      <c r="G178" s="7" t="n">
        <v>33.81530353242</v>
      </c>
      <c r="H178" s="7" t="n">
        <v>24.9394459822406</v>
      </c>
      <c r="I178" s="7" t="n">
        <v>58.3658179348826</v>
      </c>
      <c r="J178" s="7" t="n">
        <v>50.5541791519317</v>
      </c>
      <c r="K178" s="7" t="n">
        <v>65.8237585819113</v>
      </c>
      <c r="L178" s="7" t="n">
        <v>84.8046008122644</v>
      </c>
      <c r="M178" s="7" t="n">
        <v>44.3914487895161</v>
      </c>
      <c r="N178" s="7" t="n">
        <v>23.5707332456776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</row>
    <row r="179" customFormat="false" ht="15" hidden="false" customHeight="false" outlineLevel="0" collapsed="false">
      <c r="A179" s="4" t="s">
        <v>217</v>
      </c>
      <c r="B179" s="4" t="s">
        <v>218</v>
      </c>
      <c r="C179" s="4" t="s">
        <v>101</v>
      </c>
      <c r="D179" s="4" t="s">
        <v>67</v>
      </c>
      <c r="E179" s="4" t="s">
        <v>91</v>
      </c>
      <c r="F179" s="7" t="n">
        <v>43600.0763148028</v>
      </c>
      <c r="G179" s="7" t="n">
        <v>73079.1477399848</v>
      </c>
      <c r="H179" s="7" t="n">
        <v>24290.8698273218</v>
      </c>
      <c r="I179" s="7" t="n">
        <v>13051.8724038993</v>
      </c>
      <c r="J179" s="7" t="n">
        <v>40193.8865753545</v>
      </c>
      <c r="K179" s="7" t="n">
        <v>25763.7678152504</v>
      </c>
      <c r="L179" s="7" t="n">
        <v>39092.0512455424</v>
      </c>
      <c r="M179" s="7" t="n">
        <v>34274.2910458475</v>
      </c>
      <c r="N179" s="7" t="n">
        <v>36478.2997314651</v>
      </c>
      <c r="O179" s="7" t="n">
        <v>19991.8968700712</v>
      </c>
      <c r="P179" s="7" t="n">
        <v>35306.3700218587</v>
      </c>
      <c r="Q179" s="7" t="n">
        <v>34096.5748280612</v>
      </c>
      <c r="R179" s="7" t="n">
        <v>77492.2475599492</v>
      </c>
      <c r="S179" s="7" t="n">
        <v>110980.966540408</v>
      </c>
      <c r="T179" s="7" t="n">
        <v>55157.1523655339</v>
      </c>
      <c r="U179" s="7" t="n">
        <v>112823.172243209</v>
      </c>
      <c r="V179" s="7" t="n">
        <v>81974.6401705741</v>
      </c>
      <c r="W179" s="7" t="n">
        <v>103806.904065488</v>
      </c>
      <c r="X179" s="7" t="n">
        <v>69104.3493065126</v>
      </c>
      <c r="Y179" s="7" t="n">
        <v>45555.0320267634</v>
      </c>
      <c r="Z179" s="7" t="n">
        <v>48557.4399999822</v>
      </c>
      <c r="AA179" s="7" t="n">
        <v>50808.3554326635</v>
      </c>
      <c r="AB179" s="7" t="n">
        <v>48306.9424864697</v>
      </c>
    </row>
    <row r="180" customFormat="false" ht="15" hidden="false" customHeight="false" outlineLevel="0" collapsed="false">
      <c r="A180" s="4" t="s">
        <v>217</v>
      </c>
      <c r="B180" s="4" t="s">
        <v>218</v>
      </c>
      <c r="C180" s="4" t="s">
        <v>101</v>
      </c>
      <c r="D180" s="4" t="s">
        <v>67</v>
      </c>
      <c r="E180" s="4" t="s">
        <v>92</v>
      </c>
      <c r="F180" s="7" t="n">
        <v>0</v>
      </c>
      <c r="G180" s="7" t="n">
        <v>0</v>
      </c>
      <c r="H180" s="7" t="n">
        <v>0</v>
      </c>
      <c r="I180" s="7" t="n">
        <v>3581.64060495737</v>
      </c>
      <c r="J180" s="7" t="n">
        <v>0</v>
      </c>
      <c r="K180" s="7" t="n">
        <v>294.446990673663</v>
      </c>
      <c r="L180" s="7" t="n">
        <v>0</v>
      </c>
      <c r="M180" s="7" t="n">
        <v>3048.05837561069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34559.4381481216</v>
      </c>
      <c r="W180" s="7" t="n">
        <v>45490.7509736033</v>
      </c>
      <c r="X180" s="7" t="n">
        <v>17905.6370339705</v>
      </c>
      <c r="Y180" s="7" t="n">
        <v>11772.0293288691</v>
      </c>
      <c r="Z180" s="7" t="n">
        <v>11672.1424220082</v>
      </c>
      <c r="AA180" s="7" t="n">
        <v>13113.6712074032</v>
      </c>
      <c r="AB180" s="7" t="n">
        <v>12185.9476527602</v>
      </c>
    </row>
    <row r="181" customFormat="false" ht="15" hidden="false" customHeight="false" outlineLevel="0" collapsed="false">
      <c r="A181" s="4" t="s">
        <v>217</v>
      </c>
      <c r="B181" s="4" t="s">
        <v>218</v>
      </c>
      <c r="C181" s="4" t="s">
        <v>101</v>
      </c>
      <c r="D181" s="4" t="s">
        <v>67</v>
      </c>
      <c r="E181" s="4" t="s">
        <v>93</v>
      </c>
      <c r="F181" s="7" t="n">
        <v>148.977703381232</v>
      </c>
      <c r="G181" s="7" t="n">
        <v>405.563836892462</v>
      </c>
      <c r="H181" s="7" t="n">
        <v>172.962537952508</v>
      </c>
      <c r="I181" s="7" t="n">
        <v>91.2283216321127</v>
      </c>
      <c r="J181" s="7" t="n">
        <v>423.575138484413</v>
      </c>
      <c r="K181" s="7" t="n">
        <v>127.626868538135</v>
      </c>
      <c r="L181" s="7" t="n">
        <v>171.786132664726</v>
      </c>
      <c r="M181" s="7" t="n">
        <v>180.517475830343</v>
      </c>
      <c r="N181" s="7" t="n">
        <v>115.862144246257</v>
      </c>
      <c r="O181" s="7" t="n">
        <v>175.110474612879</v>
      </c>
      <c r="P181" s="7" t="n">
        <v>98.7944350066099</v>
      </c>
      <c r="Q181" s="7" t="n">
        <v>116.438456536436</v>
      </c>
      <c r="R181" s="7" t="n">
        <v>376.599342136888</v>
      </c>
      <c r="S181" s="7" t="n">
        <v>630.01001747706</v>
      </c>
      <c r="T181" s="7" t="n">
        <v>454.842599460069</v>
      </c>
      <c r="U181" s="7" t="n">
        <v>586.635480068368</v>
      </c>
      <c r="V181" s="7" t="n">
        <v>500.283325476899</v>
      </c>
      <c r="W181" s="7" t="n">
        <v>1068.04469249905</v>
      </c>
      <c r="X181" s="7" t="n">
        <v>244.988925550232</v>
      </c>
      <c r="Y181" s="7" t="n">
        <v>602.192596462039</v>
      </c>
      <c r="Z181" s="7" t="n">
        <v>758.285846905713</v>
      </c>
      <c r="AA181" s="7" t="n">
        <v>1292.5815048251</v>
      </c>
      <c r="AB181" s="7" t="n">
        <v>797.119375126083</v>
      </c>
    </row>
    <row r="182" customFormat="false" ht="15" hidden="false" customHeight="false" outlineLevel="0" collapsed="false">
      <c r="A182" s="4" t="s">
        <v>219</v>
      </c>
      <c r="B182" s="4" t="s">
        <v>220</v>
      </c>
      <c r="C182" s="4" t="s">
        <v>101</v>
      </c>
      <c r="D182" s="4" t="s">
        <v>57</v>
      </c>
      <c r="E182" s="4" t="s">
        <v>91</v>
      </c>
      <c r="F182" s="7" t="n">
        <v>2294.9647272307</v>
      </c>
      <c r="G182" s="7" t="n">
        <v>3441.70403577819</v>
      </c>
      <c r="H182" s="7" t="n">
        <v>1320.56290333261</v>
      </c>
      <c r="I182" s="7" t="n">
        <v>3476.61646919069</v>
      </c>
      <c r="J182" s="7" t="n">
        <v>2617.75630875233</v>
      </c>
      <c r="K182" s="7" t="n">
        <v>2275.42439637813</v>
      </c>
      <c r="L182" s="7" t="n">
        <v>5506.64209182493</v>
      </c>
      <c r="M182" s="7" t="n">
        <v>4616.43424322329</v>
      </c>
      <c r="N182" s="7" t="n">
        <v>4268.84401578264</v>
      </c>
      <c r="O182" s="7" t="n">
        <v>3212.38931069939</v>
      </c>
      <c r="P182" s="7" t="n">
        <v>5774.02302299341</v>
      </c>
      <c r="Q182" s="7" t="n">
        <v>4681.30803915885</v>
      </c>
      <c r="R182" s="7" t="n">
        <v>37305.0470963231</v>
      </c>
      <c r="S182" s="7" t="n">
        <v>43015.2577584861</v>
      </c>
      <c r="T182" s="7" t="n">
        <v>40766.0701950088</v>
      </c>
      <c r="U182" s="7" t="n">
        <v>33799.4116690626</v>
      </c>
      <c r="V182" s="7" t="n">
        <v>23721.7065039695</v>
      </c>
      <c r="W182" s="7" t="n">
        <v>24600.5179829264</v>
      </c>
      <c r="X182" s="7" t="n">
        <v>31727.6846193153</v>
      </c>
      <c r="Y182" s="7" t="n">
        <v>29567.3313066738</v>
      </c>
      <c r="Z182" s="7" t="n">
        <v>31755.1803870512</v>
      </c>
      <c r="AA182" s="7" t="n">
        <v>21947.0201244717</v>
      </c>
      <c r="AB182" s="7" t="n">
        <v>27330.3012354396</v>
      </c>
    </row>
    <row r="183" customFormat="false" ht="15" hidden="false" customHeight="false" outlineLevel="0" collapsed="false">
      <c r="A183" s="4" t="s">
        <v>219</v>
      </c>
      <c r="B183" s="4" t="s">
        <v>220</v>
      </c>
      <c r="C183" s="4" t="s">
        <v>101</v>
      </c>
      <c r="D183" s="4" t="s">
        <v>57</v>
      </c>
      <c r="E183" s="4" t="s">
        <v>92</v>
      </c>
      <c r="F183" s="7" t="n">
        <v>275.263732678386</v>
      </c>
      <c r="G183" s="7" t="n">
        <v>523.114717111541</v>
      </c>
      <c r="H183" s="7" t="n">
        <v>85.3223493388384</v>
      </c>
      <c r="I183" s="7" t="n">
        <v>105.759389849648</v>
      </c>
      <c r="J183" s="7" t="n">
        <v>44.384514471269</v>
      </c>
      <c r="K183" s="7" t="n">
        <v>108.012311354743</v>
      </c>
      <c r="L183" s="7" t="n">
        <v>52.0587724407821</v>
      </c>
      <c r="M183" s="7" t="n">
        <v>53.1186693789509</v>
      </c>
      <c r="N183" s="7" t="n">
        <v>15.523956344341</v>
      </c>
      <c r="O183" s="7" t="n">
        <v>29.7484581761601</v>
      </c>
      <c r="P183" s="7" t="n">
        <v>15.3924555435731</v>
      </c>
      <c r="Q183" s="7" t="n">
        <v>16.2355346165374</v>
      </c>
      <c r="R183" s="7" t="n">
        <v>13.3336909208557</v>
      </c>
      <c r="S183" s="7" t="n">
        <v>349.65270626571</v>
      </c>
      <c r="T183" s="7" t="n">
        <v>449.768159373392</v>
      </c>
      <c r="U183" s="7" t="n">
        <v>1660.49638767903</v>
      </c>
      <c r="V183" s="7" t="n">
        <v>1676.20611952914</v>
      </c>
      <c r="W183" s="7" t="n">
        <v>1348.49711269329</v>
      </c>
      <c r="X183" s="7" t="n">
        <v>964.97551669186</v>
      </c>
      <c r="Y183" s="7" t="n">
        <v>558.71497964324</v>
      </c>
      <c r="Z183" s="7" t="n">
        <v>746.284380413583</v>
      </c>
      <c r="AA183" s="7" t="n">
        <v>573.066812631868</v>
      </c>
      <c r="AB183" s="7" t="n">
        <v>622.318216736264</v>
      </c>
    </row>
    <row r="184" customFormat="false" ht="15" hidden="false" customHeight="false" outlineLevel="0" collapsed="false">
      <c r="A184" s="4" t="s">
        <v>219</v>
      </c>
      <c r="B184" s="4" t="s">
        <v>220</v>
      </c>
      <c r="C184" s="4" t="s">
        <v>101</v>
      </c>
      <c r="D184" s="4" t="s">
        <v>57</v>
      </c>
      <c r="E184" s="4" t="s">
        <v>93</v>
      </c>
      <c r="F184" s="7" t="n">
        <v>5.21234730352596</v>
      </c>
      <c r="G184" s="7" t="n">
        <v>7.6396075016571</v>
      </c>
      <c r="H184" s="7" t="n">
        <v>3.05013255177771</v>
      </c>
      <c r="I184" s="7" t="n">
        <v>2.34474013566559</v>
      </c>
      <c r="J184" s="7" t="n">
        <v>3.48611931983976</v>
      </c>
      <c r="K184" s="7" t="n">
        <v>4.28189314862344</v>
      </c>
      <c r="L184" s="7" t="n">
        <v>2.80130085056936</v>
      </c>
      <c r="M184" s="7" t="n">
        <v>1.79487588209905</v>
      </c>
      <c r="N184" s="7" t="n">
        <v>4.0647109959341</v>
      </c>
      <c r="O184" s="7" t="n">
        <v>2.09048290001911</v>
      </c>
      <c r="P184" s="7" t="n">
        <v>1.25016796617582</v>
      </c>
      <c r="Q184" s="7" t="n">
        <v>33.336796691376</v>
      </c>
      <c r="R184" s="7" t="n">
        <v>303.483560041915</v>
      </c>
      <c r="S184" s="7" t="n">
        <v>276.907758153862</v>
      </c>
      <c r="T184" s="7" t="n">
        <v>1000</v>
      </c>
      <c r="U184" s="7" t="n">
        <v>249.564654412376</v>
      </c>
      <c r="V184" s="7" t="n">
        <v>148.1119531513</v>
      </c>
      <c r="W184" s="7" t="n">
        <v>73.6087348637779</v>
      </c>
      <c r="X184" s="7" t="n">
        <v>183.633782942974</v>
      </c>
      <c r="Y184" s="7" t="n">
        <v>654.320987654322</v>
      </c>
      <c r="Z184" s="7" t="n">
        <v>73.7619567525697</v>
      </c>
      <c r="AA184" s="7" t="n">
        <v>60.2746625687628</v>
      </c>
      <c r="AB184" s="7" t="n">
        <v>93.092352966339</v>
      </c>
    </row>
    <row r="185" customFormat="false" ht="15" hidden="false" customHeight="false" outlineLevel="0" collapsed="false">
      <c r="A185" s="4" t="s">
        <v>221</v>
      </c>
      <c r="B185" s="4" t="s">
        <v>222</v>
      </c>
      <c r="C185" s="4" t="s">
        <v>112</v>
      </c>
      <c r="D185" s="4" t="s">
        <v>41</v>
      </c>
      <c r="E185" s="4" t="s">
        <v>91</v>
      </c>
      <c r="F185" s="7" t="n">
        <v>36.3663038889208</v>
      </c>
      <c r="G185" s="7" t="n">
        <v>7.02321065673828</v>
      </c>
      <c r="H185" s="7" t="n">
        <v>6.87403379437615</v>
      </c>
      <c r="I185" s="7" t="n">
        <v>15.0826596358475</v>
      </c>
      <c r="J185" s="7" t="n">
        <v>27.9573288513184</v>
      </c>
      <c r="K185" s="7" t="n">
        <v>4.87789089355469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</row>
    <row r="186" customFormat="false" ht="15" hidden="false" customHeight="false" outlineLevel="0" collapsed="false">
      <c r="A186" s="4" t="s">
        <v>221</v>
      </c>
      <c r="B186" s="4" t="s">
        <v>222</v>
      </c>
      <c r="C186" s="4" t="s">
        <v>112</v>
      </c>
      <c r="D186" s="4" t="s">
        <v>41</v>
      </c>
      <c r="E186" s="4" t="s">
        <v>92</v>
      </c>
      <c r="F186" s="7" t="n">
        <v>0</v>
      </c>
      <c r="G186" s="7" t="n">
        <v>0</v>
      </c>
      <c r="H186" s="7" t="n">
        <v>0</v>
      </c>
      <c r="I186" s="7" t="n">
        <v>19.005131640625</v>
      </c>
      <c r="J186" s="7" t="n">
        <v>16.196250769043</v>
      </c>
      <c r="K186" s="7" t="n">
        <v>8.05971968383789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</row>
    <row r="187" customFormat="false" ht="15" hidden="false" customHeight="false" outlineLevel="0" collapsed="false">
      <c r="A187" s="4" t="s">
        <v>221</v>
      </c>
      <c r="B187" s="4" t="s">
        <v>222</v>
      </c>
      <c r="C187" s="4" t="s">
        <v>112</v>
      </c>
      <c r="D187" s="4" t="s">
        <v>41</v>
      </c>
      <c r="E187" s="4" t="s">
        <v>93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</row>
    <row r="188" customFormat="false" ht="15" hidden="false" customHeight="false" outlineLevel="0" collapsed="false">
      <c r="A188" s="4" t="s">
        <v>223</v>
      </c>
      <c r="B188" s="4" t="s">
        <v>224</v>
      </c>
      <c r="C188" s="4" t="s">
        <v>101</v>
      </c>
      <c r="D188" s="4" t="s">
        <v>57</v>
      </c>
      <c r="E188" s="4" t="s">
        <v>91</v>
      </c>
      <c r="F188" s="7" t="n">
        <v>5.84147357788086</v>
      </c>
      <c r="G188" s="7" t="n">
        <v>38.6542877255189</v>
      </c>
      <c r="H188" s="7" t="n">
        <v>8.31627264404297</v>
      </c>
      <c r="I188" s="7" t="n">
        <v>34.3106387984452</v>
      </c>
      <c r="J188" s="7" t="n">
        <v>2.87126286096909</v>
      </c>
      <c r="K188" s="7" t="n">
        <v>7.26756428833008</v>
      </c>
      <c r="L188" s="7" t="n">
        <v>46.1538026310939</v>
      </c>
      <c r="M188" s="7" t="n">
        <v>223.125901448927</v>
      </c>
      <c r="N188" s="7" t="n">
        <v>12.6654621153715</v>
      </c>
      <c r="O188" s="7" t="n">
        <v>29.1407649795321</v>
      </c>
      <c r="P188" s="7" t="n">
        <v>39.4175400884188</v>
      </c>
      <c r="Q188" s="7" t="n">
        <v>47.4138730486713</v>
      </c>
      <c r="R188" s="7" t="n">
        <v>27.7444304239774</v>
      </c>
      <c r="S188" s="7" t="n">
        <v>40.5393469421387</v>
      </c>
      <c r="T188" s="7" t="n">
        <v>37.3088936950684</v>
      </c>
      <c r="U188" s="7" t="n">
        <v>13.4115380310059</v>
      </c>
      <c r="V188" s="7" t="n">
        <v>27.862671449846</v>
      </c>
      <c r="W188" s="7" t="n">
        <v>18.7018636632783</v>
      </c>
      <c r="X188" s="7" t="n">
        <v>29.0191649980298</v>
      </c>
      <c r="Y188" s="7" t="n">
        <v>2.93504585996483</v>
      </c>
      <c r="Z188" s="7" t="n">
        <v>1.85719883169978</v>
      </c>
      <c r="AA188" s="7" t="n">
        <v>3.27094688868411</v>
      </c>
      <c r="AB188" s="7" t="n">
        <v>2.44769210083514</v>
      </c>
    </row>
    <row r="189" customFormat="false" ht="15" hidden="false" customHeight="false" outlineLevel="0" collapsed="false">
      <c r="A189" s="4" t="s">
        <v>223</v>
      </c>
      <c r="B189" s="4" t="s">
        <v>224</v>
      </c>
      <c r="C189" s="4" t="s">
        <v>101</v>
      </c>
      <c r="D189" s="4" t="s">
        <v>57</v>
      </c>
      <c r="E189" s="4" t="s">
        <v>92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0.0742953370210812</v>
      </c>
      <c r="O189" s="7" t="n">
        <v>2.94269675111379</v>
      </c>
      <c r="P189" s="7" t="n">
        <v>4.04015072318118</v>
      </c>
      <c r="Q189" s="7" t="n">
        <v>2.5602118329205</v>
      </c>
      <c r="R189" s="7" t="n">
        <v>2.15532207846401</v>
      </c>
      <c r="S189" s="7" t="n">
        <v>6.14452785644531</v>
      </c>
      <c r="T189" s="7" t="n">
        <v>3.29654839477539</v>
      </c>
      <c r="U189" s="7" t="n">
        <v>2.17312437133789</v>
      </c>
      <c r="V189" s="7" t="n">
        <v>0.46374998687368</v>
      </c>
      <c r="W189" s="7" t="n">
        <v>0.630770717825257</v>
      </c>
      <c r="X189" s="7" t="n">
        <v>1.33073580763429</v>
      </c>
      <c r="Y189" s="7" t="n">
        <v>0.511699934712904</v>
      </c>
      <c r="Z189" s="7" t="n">
        <v>0.240876302577568</v>
      </c>
      <c r="AA189" s="7" t="n">
        <v>0.326113645983858</v>
      </c>
      <c r="AB189" s="7" t="n">
        <v>0.325765260004707</v>
      </c>
    </row>
    <row r="190" customFormat="false" ht="15" hidden="false" customHeight="false" outlineLevel="0" collapsed="false">
      <c r="A190" s="4" t="s">
        <v>223</v>
      </c>
      <c r="B190" s="4" t="s">
        <v>224</v>
      </c>
      <c r="C190" s="4" t="s">
        <v>101</v>
      </c>
      <c r="D190" s="4" t="s">
        <v>57</v>
      </c>
      <c r="E190" s="4" t="s">
        <v>93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</row>
    <row r="191" customFormat="false" ht="15" hidden="false" customHeight="false" outlineLevel="0" collapsed="false">
      <c r="A191" s="4" t="s">
        <v>225</v>
      </c>
      <c r="B191" s="4" t="s">
        <v>226</v>
      </c>
      <c r="C191" s="4" t="s">
        <v>101</v>
      </c>
      <c r="D191" s="4" t="s">
        <v>57</v>
      </c>
      <c r="E191" s="4" t="s">
        <v>91</v>
      </c>
      <c r="F191" s="7" t="n">
        <v>5.26495415039063</v>
      </c>
      <c r="G191" s="7" t="n">
        <v>30.6483630878139</v>
      </c>
      <c r="H191" s="7" t="n">
        <v>26.6404045854538</v>
      </c>
      <c r="I191" s="7" t="n">
        <v>11.356350567627</v>
      </c>
      <c r="J191" s="7" t="n">
        <v>97.8468494294529</v>
      </c>
      <c r="K191" s="7" t="n">
        <v>32.4904072753906</v>
      </c>
      <c r="L191" s="7" t="n">
        <v>515.246524695501</v>
      </c>
      <c r="M191" s="7" t="n">
        <v>193.812678827237</v>
      </c>
      <c r="N191" s="7" t="n">
        <v>494.795455770695</v>
      </c>
      <c r="O191" s="7" t="n">
        <v>54.6692398993518</v>
      </c>
      <c r="P191" s="7" t="n">
        <v>127.399775164795</v>
      </c>
      <c r="Q191" s="7" t="n">
        <v>82.3535937866211</v>
      </c>
      <c r="R191" s="7" t="n">
        <v>1137.94902513939</v>
      </c>
      <c r="S191" s="7" t="n">
        <v>1159.12584060091</v>
      </c>
      <c r="T191" s="7" t="n">
        <v>953.248784099736</v>
      </c>
      <c r="U191" s="7" t="n">
        <v>985.085731121967</v>
      </c>
      <c r="V191" s="7" t="n">
        <v>1236.76499937646</v>
      </c>
      <c r="W191" s="7" t="n">
        <v>1292.01717335943</v>
      </c>
      <c r="X191" s="7" t="n">
        <v>1023.87458464344</v>
      </c>
      <c r="Y191" s="7" t="n">
        <v>1762.44001319887</v>
      </c>
      <c r="Z191" s="7" t="n">
        <v>1045.52815215891</v>
      </c>
      <c r="AA191" s="7" t="n">
        <v>1256.96708338222</v>
      </c>
      <c r="AB191" s="7" t="n">
        <v>1042.50381013054</v>
      </c>
    </row>
    <row r="192" customFormat="false" ht="15" hidden="false" customHeight="false" outlineLevel="0" collapsed="false">
      <c r="A192" s="4" t="s">
        <v>225</v>
      </c>
      <c r="B192" s="4" t="s">
        <v>226</v>
      </c>
      <c r="C192" s="4" t="s">
        <v>101</v>
      </c>
      <c r="D192" s="4" t="s">
        <v>57</v>
      </c>
      <c r="E192" s="4" t="s">
        <v>92</v>
      </c>
      <c r="F192" s="7" t="n">
        <v>123.067103676734</v>
      </c>
      <c r="G192" s="7" t="n">
        <v>411.605521290526</v>
      </c>
      <c r="H192" s="7" t="n">
        <v>33.4032873658901</v>
      </c>
      <c r="I192" s="7" t="n">
        <v>311.542530232688</v>
      </c>
      <c r="J192" s="7" t="n">
        <v>206.39957110547</v>
      </c>
      <c r="K192" s="7" t="n">
        <v>141.68810465972</v>
      </c>
      <c r="L192" s="7" t="n">
        <v>184.603081202017</v>
      </c>
      <c r="M192" s="7" t="n">
        <v>79.2487064360546</v>
      </c>
      <c r="N192" s="7" t="n">
        <v>312.563584686325</v>
      </c>
      <c r="O192" s="7" t="n">
        <v>459.146055108773</v>
      </c>
      <c r="P192" s="7" t="n">
        <v>242.1805543592</v>
      </c>
      <c r="Q192" s="7" t="n">
        <v>198.775430641386</v>
      </c>
      <c r="R192" s="7" t="n">
        <v>508.810106245864</v>
      </c>
      <c r="S192" s="7" t="n">
        <v>4.56679968327182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193.967293991119</v>
      </c>
      <c r="AA192" s="7" t="n">
        <v>102.236876630237</v>
      </c>
      <c r="AB192" s="7" t="n">
        <v>78.1604054792612</v>
      </c>
    </row>
    <row r="193" customFormat="false" ht="15" hidden="false" customHeight="false" outlineLevel="0" collapsed="false">
      <c r="A193" s="4" t="s">
        <v>225</v>
      </c>
      <c r="B193" s="4" t="s">
        <v>226</v>
      </c>
      <c r="C193" s="4" t="s">
        <v>101</v>
      </c>
      <c r="D193" s="4" t="s">
        <v>57</v>
      </c>
      <c r="E193" s="4" t="s">
        <v>93</v>
      </c>
      <c r="F193" s="7" t="n">
        <v>0.0216042666442893</v>
      </c>
      <c r="G193" s="7" t="n">
        <v>0.212616500638092</v>
      </c>
      <c r="H193" s="7" t="n">
        <v>0.0167559475627156</v>
      </c>
      <c r="I193" s="7" t="n">
        <v>0.142831476823178</v>
      </c>
      <c r="J193" s="7" t="n">
        <v>0.0368289184417272</v>
      </c>
      <c r="K193" s="7" t="n">
        <v>0.023244975983497</v>
      </c>
      <c r="L193" s="7" t="n">
        <v>0.378474065741035</v>
      </c>
      <c r="M193" s="7" t="n">
        <v>0.0335176439210929</v>
      </c>
      <c r="N193" s="7" t="n">
        <v>0.102675915409289</v>
      </c>
      <c r="O193" s="7" t="n">
        <v>0.219610596194501</v>
      </c>
      <c r="P193" s="7" t="n">
        <v>0.579229151661888</v>
      </c>
      <c r="Q193" s="7" t="n">
        <v>0.0376110058926656</v>
      </c>
      <c r="R193" s="7" t="n">
        <v>0.0983013699962607</v>
      </c>
      <c r="S193" s="7" t="n">
        <v>1.33343712304671</v>
      </c>
      <c r="T193" s="7" t="n">
        <v>4.24768223097445</v>
      </c>
      <c r="U193" s="7" t="n">
        <v>1.22392870064818</v>
      </c>
      <c r="V193" s="7" t="n">
        <v>0.241152555006887</v>
      </c>
      <c r="W193" s="7" t="n">
        <v>1.21897760437955</v>
      </c>
      <c r="X193" s="7" t="n">
        <v>0.190279271399423</v>
      </c>
      <c r="Y193" s="7" t="n">
        <v>8.93145696037476</v>
      </c>
      <c r="Z193" s="7" t="n">
        <v>11.2816058485935</v>
      </c>
      <c r="AA193" s="7" t="n">
        <v>3.10526526770257</v>
      </c>
      <c r="AB193" s="7" t="n">
        <v>0.0156002703211313</v>
      </c>
    </row>
    <row r="194" customFormat="false" ht="15" hidden="false" customHeight="false" outlineLevel="0" collapsed="false">
      <c r="A194" s="4" t="s">
        <v>227</v>
      </c>
      <c r="B194" s="4" t="s">
        <v>228</v>
      </c>
      <c r="C194" s="4" t="s">
        <v>101</v>
      </c>
      <c r="D194" s="4" t="s">
        <v>65</v>
      </c>
      <c r="E194" s="4" t="s">
        <v>91</v>
      </c>
      <c r="F194" s="7" t="n">
        <v>184.494028295572</v>
      </c>
      <c r="G194" s="7" t="n">
        <v>76.3718576612058</v>
      </c>
      <c r="H194" s="7" t="n">
        <v>6.0839739927167</v>
      </c>
      <c r="I194" s="7" t="n">
        <v>0</v>
      </c>
      <c r="J194" s="7" t="n">
        <v>6.74739366959914</v>
      </c>
      <c r="K194" s="7" t="n">
        <v>22.9617588720742</v>
      </c>
      <c r="L194" s="7" t="n">
        <v>144.017945851287</v>
      </c>
      <c r="M194" s="7" t="n">
        <v>153.173374358412</v>
      </c>
      <c r="N194" s="7" t="n">
        <v>171.588929374307</v>
      </c>
      <c r="O194" s="7" t="n">
        <v>123.13097653644</v>
      </c>
      <c r="P194" s="7" t="n">
        <v>126.67392527241</v>
      </c>
      <c r="Q194" s="7" t="n">
        <v>109.476298399311</v>
      </c>
      <c r="R194" s="7" t="n">
        <v>239.909594539343</v>
      </c>
      <c r="S194" s="7" t="n">
        <v>922.857224681522</v>
      </c>
      <c r="T194" s="7" t="n">
        <v>246.922300872068</v>
      </c>
      <c r="U194" s="7" t="n">
        <v>438.165365951713</v>
      </c>
      <c r="V194" s="7" t="n">
        <v>624.313248412577</v>
      </c>
      <c r="W194" s="7" t="n">
        <v>358.20037902297</v>
      </c>
      <c r="X194" s="7" t="n">
        <v>544</v>
      </c>
      <c r="Y194" s="7" t="n">
        <v>254.333333333333</v>
      </c>
      <c r="Z194" s="7" t="n">
        <v>433.612324023656</v>
      </c>
      <c r="AA194" s="7" t="n">
        <v>360</v>
      </c>
      <c r="AB194" s="7" t="n">
        <v>398.965507452585</v>
      </c>
    </row>
    <row r="195" customFormat="false" ht="15" hidden="false" customHeight="false" outlineLevel="0" collapsed="false">
      <c r="A195" s="4" t="s">
        <v>227</v>
      </c>
      <c r="B195" s="4" t="s">
        <v>228</v>
      </c>
      <c r="C195" s="4" t="s">
        <v>101</v>
      </c>
      <c r="D195" s="4" t="s">
        <v>65</v>
      </c>
      <c r="E195" s="4" t="s">
        <v>92</v>
      </c>
      <c r="F195" s="7" t="n">
        <v>201.318992074157</v>
      </c>
      <c r="G195" s="7" t="n">
        <v>244.397829581489</v>
      </c>
      <c r="H195" s="7" t="n">
        <v>231.943296668186</v>
      </c>
      <c r="I195" s="7" t="n">
        <v>33.9076374145508</v>
      </c>
      <c r="J195" s="7" t="n">
        <v>171.229549110947</v>
      </c>
      <c r="K195" s="7" t="n">
        <v>120.428531276062</v>
      </c>
      <c r="L195" s="7" t="n">
        <v>167.170677041085</v>
      </c>
      <c r="M195" s="7" t="n">
        <v>150.499127607255</v>
      </c>
      <c r="N195" s="7" t="n">
        <v>185.211111350791</v>
      </c>
      <c r="O195" s="7" t="n">
        <v>247.717242362797</v>
      </c>
      <c r="P195" s="7" t="n">
        <v>232.326377057314</v>
      </c>
      <c r="Q195" s="7" t="n">
        <v>92.4282519326485</v>
      </c>
      <c r="R195" s="7" t="n">
        <v>232.16478097206</v>
      </c>
      <c r="S195" s="7" t="n">
        <v>365.224995730262</v>
      </c>
      <c r="T195" s="7" t="n">
        <v>88.6360648317036</v>
      </c>
      <c r="U195" s="7" t="n">
        <v>142.865640244504</v>
      </c>
      <c r="V195" s="7" t="n">
        <v>277.089909924107</v>
      </c>
      <c r="W195" s="7" t="n">
        <v>162.030342636492</v>
      </c>
      <c r="X195" s="7" t="n">
        <v>301.140197498087</v>
      </c>
      <c r="Y195" s="7" t="n">
        <v>147.130014925779</v>
      </c>
      <c r="Z195" s="7" t="n">
        <v>426.147240320611</v>
      </c>
      <c r="AA195" s="7" t="n">
        <v>346.415982050505</v>
      </c>
      <c r="AB195" s="7" t="n">
        <v>321.365347138599</v>
      </c>
    </row>
    <row r="196" customFormat="false" ht="15" hidden="false" customHeight="false" outlineLevel="0" collapsed="false">
      <c r="A196" s="4" t="s">
        <v>227</v>
      </c>
      <c r="B196" s="4" t="s">
        <v>228</v>
      </c>
      <c r="C196" s="4" t="s">
        <v>101</v>
      </c>
      <c r="D196" s="4" t="s">
        <v>65</v>
      </c>
      <c r="E196" s="4" t="s">
        <v>93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</row>
    <row r="197" customFormat="false" ht="15" hidden="false" customHeight="false" outlineLevel="0" collapsed="false">
      <c r="A197" s="4" t="s">
        <v>229</v>
      </c>
      <c r="B197" s="4" t="s">
        <v>230</v>
      </c>
      <c r="C197" s="4" t="s">
        <v>104</v>
      </c>
      <c r="D197" s="4" t="s">
        <v>41</v>
      </c>
      <c r="E197" s="4" t="s">
        <v>91</v>
      </c>
      <c r="F197" s="7" t="n">
        <v>506.316028779584</v>
      </c>
      <c r="G197" s="7" t="n">
        <v>205.596500841017</v>
      </c>
      <c r="H197" s="7" t="n">
        <v>98.6605482580567</v>
      </c>
      <c r="I197" s="7" t="n">
        <v>100.884811859131</v>
      </c>
      <c r="J197" s="7" t="n">
        <v>88.2357823375268</v>
      </c>
      <c r="K197" s="7" t="n">
        <v>101.134883898926</v>
      </c>
      <c r="L197" s="7" t="n">
        <v>932.865167761077</v>
      </c>
      <c r="M197" s="7" t="n">
        <v>827.11620332737</v>
      </c>
      <c r="N197" s="7" t="n">
        <v>629.545143883516</v>
      </c>
      <c r="O197" s="7" t="n">
        <v>77.2528405761719</v>
      </c>
      <c r="P197" s="7" t="n">
        <v>100.199356401535</v>
      </c>
      <c r="Q197" s="7" t="n">
        <v>87.0655945608102</v>
      </c>
      <c r="R197" s="7" t="n">
        <v>28.5366503307627</v>
      </c>
      <c r="S197" s="7" t="n">
        <v>46.3982896836943</v>
      </c>
      <c r="T197" s="7" t="n">
        <v>51.8021613557225</v>
      </c>
      <c r="U197" s="7" t="n">
        <v>99.8699239504107</v>
      </c>
      <c r="V197" s="7" t="n">
        <v>330.069791398231</v>
      </c>
      <c r="W197" s="7" t="n">
        <v>149.137975994873</v>
      </c>
      <c r="X197" s="7" t="n">
        <v>75.603510413938</v>
      </c>
      <c r="Y197" s="7" t="n">
        <v>497.008244928314</v>
      </c>
      <c r="Z197" s="7" t="n">
        <v>456.885414488525</v>
      </c>
      <c r="AA197" s="7" t="n">
        <v>235.848129821138</v>
      </c>
      <c r="AB197" s="7" t="n">
        <v>470.053296586772</v>
      </c>
    </row>
    <row r="198" customFormat="false" ht="15" hidden="false" customHeight="false" outlineLevel="0" collapsed="false">
      <c r="A198" s="4" t="s">
        <v>229</v>
      </c>
      <c r="B198" s="4" t="s">
        <v>230</v>
      </c>
      <c r="C198" s="4" t="s">
        <v>104</v>
      </c>
      <c r="D198" s="4" t="s">
        <v>41</v>
      </c>
      <c r="E198" s="4" t="s">
        <v>92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394.084575898078</v>
      </c>
      <c r="X198" s="7" t="n">
        <v>0</v>
      </c>
      <c r="Y198" s="7" t="n">
        <v>0</v>
      </c>
      <c r="Z198" s="7" t="n">
        <v>0</v>
      </c>
      <c r="AA198" s="7" t="n">
        <v>92.5244860523107</v>
      </c>
      <c r="AB198" s="7" t="n">
        <v>10.3877658031737</v>
      </c>
    </row>
    <row r="199" customFormat="false" ht="15" hidden="false" customHeight="false" outlineLevel="0" collapsed="false">
      <c r="A199" s="4" t="s">
        <v>229</v>
      </c>
      <c r="B199" s="4" t="s">
        <v>230</v>
      </c>
      <c r="C199" s="4" t="s">
        <v>104</v>
      </c>
      <c r="D199" s="4" t="s">
        <v>41</v>
      </c>
      <c r="E199" s="4" t="s">
        <v>93</v>
      </c>
      <c r="F199" s="7" t="n">
        <v>1037</v>
      </c>
      <c r="G199" s="7" t="n">
        <v>1037</v>
      </c>
      <c r="H199" s="7" t="n">
        <v>963.069292290996</v>
      </c>
      <c r="I199" s="7" t="n">
        <v>1037.00000000001</v>
      </c>
      <c r="J199" s="7" t="n">
        <v>1037</v>
      </c>
      <c r="K199" s="7" t="n">
        <v>1037</v>
      </c>
      <c r="L199" s="7" t="n">
        <v>1036.99999999999</v>
      </c>
      <c r="M199" s="7" t="n">
        <v>691.333333333333</v>
      </c>
      <c r="N199" s="7" t="n">
        <v>345.666666666667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</row>
    <row r="200" customFormat="false" ht="15" hidden="false" customHeight="false" outlineLevel="0" collapsed="false">
      <c r="A200" s="4" t="s">
        <v>231</v>
      </c>
      <c r="B200" s="4" t="s">
        <v>232</v>
      </c>
      <c r="C200" s="4" t="s">
        <v>107</v>
      </c>
      <c r="D200" s="4" t="s">
        <v>79</v>
      </c>
      <c r="E200" s="4" t="s">
        <v>91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3.7718495296224</v>
      </c>
      <c r="L200" s="7" t="n">
        <v>4.44022717895508</v>
      </c>
      <c r="M200" s="7" t="n">
        <v>6.76954744873047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0.0592900240759473</v>
      </c>
      <c r="Z200" s="7" t="n">
        <v>0.597493352257782</v>
      </c>
      <c r="AA200" s="7" t="n">
        <v>2.21925311406697</v>
      </c>
      <c r="AB200" s="7" t="n">
        <v>0.239202201740594</v>
      </c>
    </row>
    <row r="201" customFormat="false" ht="15" hidden="false" customHeight="false" outlineLevel="0" collapsed="false">
      <c r="A201" s="4" t="s">
        <v>231</v>
      </c>
      <c r="B201" s="4" t="s">
        <v>232</v>
      </c>
      <c r="C201" s="4" t="s">
        <v>107</v>
      </c>
      <c r="D201" s="4" t="s">
        <v>79</v>
      </c>
      <c r="E201" s="4" t="s">
        <v>92</v>
      </c>
      <c r="F201" s="7" t="n">
        <v>4.21443550415039</v>
      </c>
      <c r="G201" s="7" t="n">
        <v>4.74040578613281</v>
      </c>
      <c r="H201" s="7" t="n">
        <v>5.86041517934762</v>
      </c>
      <c r="I201" s="7" t="n">
        <v>86.327640637207</v>
      </c>
      <c r="J201" s="7" t="n">
        <v>3.68759369506836</v>
      </c>
      <c r="K201" s="7" t="n">
        <v>0</v>
      </c>
      <c r="L201" s="7" t="n">
        <v>0</v>
      </c>
      <c r="M201" s="7" t="n">
        <v>0</v>
      </c>
      <c r="N201" s="7" t="n">
        <v>7.90166115722656</v>
      </c>
      <c r="O201" s="7" t="n">
        <v>6.47266226806641</v>
      </c>
      <c r="P201" s="7" t="n">
        <v>2.63370260009766</v>
      </c>
      <c r="Q201" s="7" t="n">
        <v>3.08547316894531</v>
      </c>
      <c r="R201" s="7" t="n">
        <v>3.09303914284467</v>
      </c>
      <c r="S201" s="7" t="n">
        <v>3.09303914284467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0.0159677456994433</v>
      </c>
      <c r="Z201" s="7" t="n">
        <v>0.154929261267608</v>
      </c>
      <c r="AA201" s="7" t="n">
        <v>0.564942997993577</v>
      </c>
      <c r="AB201" s="7" t="n">
        <v>0.0618158036305002</v>
      </c>
    </row>
    <row r="202" customFormat="false" ht="15" hidden="false" customHeight="false" outlineLevel="0" collapsed="false">
      <c r="A202" s="4" t="s">
        <v>231</v>
      </c>
      <c r="B202" s="4" t="s">
        <v>232</v>
      </c>
      <c r="C202" s="4" t="s">
        <v>107</v>
      </c>
      <c r="D202" s="4" t="s">
        <v>79</v>
      </c>
      <c r="E202" s="4" t="s">
        <v>93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</row>
    <row r="203" customFormat="false" ht="15" hidden="false" customHeight="false" outlineLevel="0" collapsed="false">
      <c r="A203" s="4" t="s">
        <v>233</v>
      </c>
      <c r="B203" s="4" t="s">
        <v>234</v>
      </c>
      <c r="C203" s="4" t="s">
        <v>112</v>
      </c>
      <c r="D203" s="4" t="s">
        <v>79</v>
      </c>
      <c r="E203" s="4" t="s">
        <v>91</v>
      </c>
      <c r="F203" s="7" t="n">
        <v>4707.98161440164</v>
      </c>
      <c r="G203" s="7" t="n">
        <v>246.264871590385</v>
      </c>
      <c r="H203" s="7" t="n">
        <v>424.981339450708</v>
      </c>
      <c r="I203" s="7" t="n">
        <v>47657.2162767693</v>
      </c>
      <c r="J203" s="7" t="n">
        <v>80643.6912714702</v>
      </c>
      <c r="K203" s="7" t="n">
        <v>43762.0479668163</v>
      </c>
      <c r="L203" s="7" t="n">
        <v>753.4620877917</v>
      </c>
      <c r="M203" s="7" t="n">
        <v>494.559050934149</v>
      </c>
      <c r="N203" s="7" t="n">
        <v>519.80962480732</v>
      </c>
      <c r="O203" s="7" t="n">
        <v>449.673512530876</v>
      </c>
      <c r="P203" s="7" t="n">
        <v>7445.44320851477</v>
      </c>
      <c r="Q203" s="7" t="n">
        <v>66812</v>
      </c>
      <c r="R203" s="7" t="n">
        <v>42129.4170681022</v>
      </c>
      <c r="S203" s="7" t="n">
        <v>47114</v>
      </c>
      <c r="T203" s="7" t="n">
        <v>16143.5196507503</v>
      </c>
      <c r="U203" s="7" t="n">
        <v>16028.5145377147</v>
      </c>
      <c r="V203" s="7" t="n">
        <v>15284.9897982138</v>
      </c>
      <c r="W203" s="7" t="n">
        <v>8049.00211748402</v>
      </c>
      <c r="X203" s="7" t="n">
        <v>6513.80029578851</v>
      </c>
      <c r="Y203" s="7" t="n">
        <v>4848.97467482147</v>
      </c>
      <c r="Z203" s="7" t="n">
        <v>6592.07087212455</v>
      </c>
      <c r="AA203" s="7" t="n">
        <v>1018.14484408548</v>
      </c>
      <c r="AB203" s="7" t="n">
        <v>4153.06346367717</v>
      </c>
    </row>
    <row r="204" customFormat="false" ht="15" hidden="false" customHeight="false" outlineLevel="0" collapsed="false">
      <c r="A204" s="4" t="s">
        <v>233</v>
      </c>
      <c r="B204" s="4" t="s">
        <v>234</v>
      </c>
      <c r="C204" s="4" t="s">
        <v>112</v>
      </c>
      <c r="D204" s="4" t="s">
        <v>79</v>
      </c>
      <c r="E204" s="4" t="s">
        <v>92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3292.43721664233</v>
      </c>
      <c r="S204" s="7" t="n">
        <v>7609.9909757148</v>
      </c>
      <c r="T204" s="7" t="n">
        <v>15073.4688810029</v>
      </c>
      <c r="U204" s="7" t="n">
        <v>15527.4835226792</v>
      </c>
      <c r="V204" s="7" t="n">
        <v>16238.2572183732</v>
      </c>
      <c r="W204" s="7" t="n">
        <v>13582.3951633118</v>
      </c>
      <c r="X204" s="7" t="n">
        <v>15846.7139579763</v>
      </c>
      <c r="Y204" s="7" t="n">
        <v>9667.89645129283</v>
      </c>
      <c r="Z204" s="7" t="n">
        <v>11598.032056142</v>
      </c>
      <c r="AA204" s="7" t="n">
        <v>1199.62956159887</v>
      </c>
      <c r="AB204" s="7" t="n">
        <v>7488.51935634458</v>
      </c>
    </row>
    <row r="205" customFormat="false" ht="15" hidden="false" customHeight="false" outlineLevel="0" collapsed="false">
      <c r="A205" s="4" t="s">
        <v>233</v>
      </c>
      <c r="B205" s="4" t="s">
        <v>234</v>
      </c>
      <c r="C205" s="4" t="s">
        <v>112</v>
      </c>
      <c r="D205" s="4" t="s">
        <v>79</v>
      </c>
      <c r="E205" s="4" t="s">
        <v>93</v>
      </c>
      <c r="F205" s="7" t="n">
        <v>435.194134609543</v>
      </c>
      <c r="G205" s="7" t="n">
        <v>463.911421503212</v>
      </c>
      <c r="H205" s="7" t="n">
        <v>378.231724285242</v>
      </c>
      <c r="I205" s="7" t="n">
        <v>661.506119490532</v>
      </c>
      <c r="J205" s="7" t="n">
        <v>251.598100060527</v>
      </c>
      <c r="K205" s="7" t="n">
        <v>619.107121048657</v>
      </c>
      <c r="L205" s="7" t="n">
        <v>907.028282909606</v>
      </c>
      <c r="M205" s="7" t="n">
        <v>1077.57968002374</v>
      </c>
      <c r="N205" s="7" t="n">
        <v>744.063861789934</v>
      </c>
      <c r="O205" s="7" t="n">
        <v>522.519841929884</v>
      </c>
      <c r="P205" s="7" t="n">
        <v>318.103271040215</v>
      </c>
      <c r="Q205" s="7" t="n">
        <v>717.688522973462</v>
      </c>
      <c r="R205" s="7" t="n">
        <v>709.605857523966</v>
      </c>
      <c r="S205" s="7" t="n">
        <v>651.840967814261</v>
      </c>
      <c r="T205" s="7" t="n">
        <v>705.985664490368</v>
      </c>
      <c r="U205" s="7" t="n">
        <v>1013.15086269568</v>
      </c>
      <c r="V205" s="7" t="n">
        <v>786.992889665979</v>
      </c>
      <c r="W205" s="7" t="n">
        <v>874.815967289794</v>
      </c>
      <c r="X205" s="7" t="n">
        <v>812.555210015638</v>
      </c>
      <c r="Y205" s="7" t="n">
        <v>709.305463954916</v>
      </c>
      <c r="Z205" s="7" t="n">
        <v>725.832757348116</v>
      </c>
      <c r="AA205" s="7" t="n">
        <v>848.05461561187</v>
      </c>
      <c r="AB205" s="7" t="n">
        <v>715.836702011321</v>
      </c>
    </row>
    <row r="206" customFormat="false" ht="15" hidden="false" customHeight="false" outlineLevel="0" collapsed="false">
      <c r="A206" s="4" t="s">
        <v>235</v>
      </c>
      <c r="B206" s="4" t="s">
        <v>236</v>
      </c>
      <c r="C206" s="4" t="s">
        <v>107</v>
      </c>
      <c r="D206" s="4" t="s">
        <v>41</v>
      </c>
      <c r="E206" s="4" t="s">
        <v>91</v>
      </c>
      <c r="F206" s="7" t="n">
        <v>112.618221413869</v>
      </c>
      <c r="G206" s="7" t="n">
        <v>2.28834296537143</v>
      </c>
      <c r="H206" s="7" t="n">
        <v>112.865651863436</v>
      </c>
      <c r="I206" s="7" t="n">
        <v>0</v>
      </c>
      <c r="J206" s="7" t="n">
        <v>0</v>
      </c>
      <c r="K206" s="7" t="n">
        <v>0.0765747619628906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</row>
    <row r="207" customFormat="false" ht="15" hidden="false" customHeight="false" outlineLevel="0" collapsed="false">
      <c r="A207" s="4" t="s">
        <v>235</v>
      </c>
      <c r="B207" s="4" t="s">
        <v>236</v>
      </c>
      <c r="C207" s="4" t="s">
        <v>107</v>
      </c>
      <c r="D207" s="4" t="s">
        <v>41</v>
      </c>
      <c r="E207" s="4" t="s">
        <v>92</v>
      </c>
      <c r="F207" s="7" t="n">
        <v>505.279079358908</v>
      </c>
      <c r="G207" s="7" t="n">
        <v>574.940616270133</v>
      </c>
      <c r="H207" s="7" t="n">
        <v>451.191996255604</v>
      </c>
      <c r="I207" s="7" t="n">
        <v>1387.50388243719</v>
      </c>
      <c r="J207" s="7" t="n">
        <v>830.80736467728</v>
      </c>
      <c r="K207" s="7" t="n">
        <v>798.856039923455</v>
      </c>
      <c r="L207" s="7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</row>
    <row r="208" customFormat="false" ht="15" hidden="false" customHeight="false" outlineLevel="0" collapsed="false">
      <c r="A208" s="4" t="s">
        <v>235</v>
      </c>
      <c r="B208" s="4" t="s">
        <v>236</v>
      </c>
      <c r="C208" s="4" t="s">
        <v>107</v>
      </c>
      <c r="D208" s="4" t="s">
        <v>41</v>
      </c>
      <c r="E208" s="4" t="s">
        <v>93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</row>
    <row r="209" customFormat="false" ht="15" hidden="false" customHeight="false" outlineLevel="0" collapsed="false">
      <c r="A209" s="4" t="s">
        <v>237</v>
      </c>
      <c r="B209" s="4" t="s">
        <v>238</v>
      </c>
      <c r="C209" s="4" t="s">
        <v>107</v>
      </c>
      <c r="D209" s="4" t="s">
        <v>79</v>
      </c>
      <c r="E209" s="4" t="s">
        <v>91</v>
      </c>
      <c r="F209" s="7" t="n">
        <v>265.908093217912</v>
      </c>
      <c r="G209" s="7" t="n">
        <v>10.53850117724</v>
      </c>
      <c r="H209" s="7" t="n">
        <v>58.7324906723707</v>
      </c>
      <c r="I209" s="7" t="n">
        <v>10.4557131757221</v>
      </c>
      <c r="J209" s="7" t="n">
        <v>215.094225798391</v>
      </c>
      <c r="K209" s="7" t="n">
        <v>222.537758689541</v>
      </c>
      <c r="L209" s="7" t="n">
        <v>162.670375023485</v>
      </c>
      <c r="M209" s="7" t="n">
        <v>296.985431415561</v>
      </c>
      <c r="N209" s="7" t="n">
        <v>380.204643723928</v>
      </c>
      <c r="O209" s="7" t="n">
        <v>600.252702165927</v>
      </c>
      <c r="P209" s="7" t="n">
        <v>198.887617351623</v>
      </c>
      <c r="Q209" s="7" t="n">
        <v>326.238018634854</v>
      </c>
      <c r="R209" s="7" t="n">
        <v>272.673527377124</v>
      </c>
      <c r="S209" s="7" t="n">
        <v>268.921589426818</v>
      </c>
      <c r="T209" s="7" t="n">
        <v>203.52193859098</v>
      </c>
      <c r="U209" s="7" t="n">
        <v>384.991715179836</v>
      </c>
      <c r="V209" s="7" t="n">
        <v>192.7061259412</v>
      </c>
      <c r="W209" s="7" t="n">
        <v>275.851056467655</v>
      </c>
      <c r="X209" s="7" t="n">
        <v>501.961727568228</v>
      </c>
      <c r="Y209" s="7" t="n">
        <v>356.322481920979</v>
      </c>
      <c r="Z209" s="7" t="n">
        <v>67.280552540234</v>
      </c>
      <c r="AA209" s="7" t="n">
        <v>52.8173403716681</v>
      </c>
      <c r="AB209" s="7" t="n">
        <v>401.598303316863</v>
      </c>
    </row>
    <row r="210" customFormat="false" ht="15" hidden="false" customHeight="false" outlineLevel="0" collapsed="false">
      <c r="A210" s="4" t="s">
        <v>237</v>
      </c>
      <c r="B210" s="4" t="s">
        <v>238</v>
      </c>
      <c r="C210" s="4" t="s">
        <v>107</v>
      </c>
      <c r="D210" s="4" t="s">
        <v>79</v>
      </c>
      <c r="E210" s="4" t="s">
        <v>92</v>
      </c>
      <c r="F210" s="7" t="n">
        <v>180.861137099232</v>
      </c>
      <c r="G210" s="7" t="n">
        <v>132.606954563727</v>
      </c>
      <c r="H210" s="7" t="n">
        <v>970.536488406689</v>
      </c>
      <c r="I210" s="7" t="n">
        <v>164.889386239298</v>
      </c>
      <c r="J210" s="7" t="n">
        <v>265.974297742605</v>
      </c>
      <c r="K210" s="7" t="n">
        <v>224.17044060901</v>
      </c>
      <c r="L210" s="7" t="n">
        <v>202.812690588064</v>
      </c>
      <c r="M210" s="7" t="n">
        <v>302.051612766328</v>
      </c>
      <c r="N210" s="7" t="n">
        <v>346.756243251744</v>
      </c>
      <c r="O210" s="7" t="n">
        <v>618.988293899693</v>
      </c>
      <c r="P210" s="7" t="n">
        <v>228.056050369419</v>
      </c>
      <c r="Q210" s="7" t="n">
        <v>322.727780904247</v>
      </c>
      <c r="R210" s="7" t="n">
        <v>200.425568284809</v>
      </c>
      <c r="S210" s="7" t="n">
        <v>388.403267450359</v>
      </c>
      <c r="T210" s="7" t="n">
        <v>535.189823157833</v>
      </c>
      <c r="U210" s="7" t="n">
        <v>815.522120756588</v>
      </c>
      <c r="V210" s="7" t="n">
        <v>672.767450358836</v>
      </c>
      <c r="W210" s="7" t="n">
        <v>385.970120674655</v>
      </c>
      <c r="X210" s="7" t="n">
        <v>824.357681289432</v>
      </c>
      <c r="Y210" s="7" t="n">
        <v>655.711869186844</v>
      </c>
      <c r="Z210" s="7" t="n">
        <v>234.056633972385</v>
      </c>
      <c r="AA210" s="7" t="n">
        <v>287.735728924728</v>
      </c>
      <c r="AB210" s="7" t="n">
        <v>1256.96681774235</v>
      </c>
    </row>
    <row r="211" customFormat="false" ht="15" hidden="false" customHeight="false" outlineLevel="0" collapsed="false">
      <c r="A211" s="4" t="s">
        <v>237</v>
      </c>
      <c r="B211" s="4" t="s">
        <v>238</v>
      </c>
      <c r="C211" s="4" t="s">
        <v>107</v>
      </c>
      <c r="D211" s="4" t="s">
        <v>79</v>
      </c>
      <c r="E211" s="4" t="s">
        <v>93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</row>
    <row r="212" customFormat="false" ht="15" hidden="false" customHeight="false" outlineLevel="0" collapsed="false">
      <c r="A212" s="4" t="s">
        <v>239</v>
      </c>
      <c r="B212" s="4" t="s">
        <v>240</v>
      </c>
      <c r="C212" s="4" t="s">
        <v>112</v>
      </c>
      <c r="D212" s="4" t="s">
        <v>79</v>
      </c>
      <c r="E212" s="4" t="s">
        <v>91</v>
      </c>
      <c r="F212" s="7" t="n">
        <v>1946.81900337016</v>
      </c>
      <c r="G212" s="7" t="n">
        <v>5099.24256362403</v>
      </c>
      <c r="H212" s="7" t="n">
        <v>15782.0322311915</v>
      </c>
      <c r="I212" s="7" t="n">
        <v>13830.0423792401</v>
      </c>
      <c r="J212" s="7" t="n">
        <v>97.4920368890501</v>
      </c>
      <c r="K212" s="7" t="n">
        <v>112.009486074626</v>
      </c>
      <c r="L212" s="7" t="n">
        <v>12803.0485756949</v>
      </c>
      <c r="M212" s="7" t="n">
        <v>28225.7295165489</v>
      </c>
      <c r="N212" s="7" t="n">
        <v>33662.0409361261</v>
      </c>
      <c r="O212" s="7" t="n">
        <v>20451.4161128128</v>
      </c>
      <c r="P212" s="7" t="n">
        <v>10240.9920061782</v>
      </c>
      <c r="Q212" s="7" t="n">
        <v>598.958543169998</v>
      </c>
      <c r="R212" s="7" t="n">
        <v>320.74095171011</v>
      </c>
      <c r="S212" s="7" t="n">
        <v>8947.28037490222</v>
      </c>
      <c r="T212" s="7" t="n">
        <v>10323.8780413565</v>
      </c>
      <c r="U212" s="7" t="n">
        <v>10782.9435728519</v>
      </c>
      <c r="V212" s="7" t="n">
        <v>552.892026753985</v>
      </c>
      <c r="W212" s="7" t="n">
        <v>6651.29048044714</v>
      </c>
      <c r="X212" s="7" t="n">
        <v>4995.3615924712</v>
      </c>
      <c r="Y212" s="7" t="n">
        <v>11950.8930610236</v>
      </c>
      <c r="Z212" s="7" t="n">
        <v>12382.3510596348</v>
      </c>
      <c r="AA212" s="7" t="n">
        <v>1948.82266784815</v>
      </c>
      <c r="AB212" s="7" t="n">
        <v>8760.68892950217</v>
      </c>
    </row>
    <row r="213" customFormat="false" ht="15" hidden="false" customHeight="false" outlineLevel="0" collapsed="false">
      <c r="A213" s="4" t="s">
        <v>239</v>
      </c>
      <c r="B213" s="4" t="s">
        <v>240</v>
      </c>
      <c r="C213" s="4" t="s">
        <v>112</v>
      </c>
      <c r="D213" s="4" t="s">
        <v>79</v>
      </c>
      <c r="E213" s="4" t="s">
        <v>92</v>
      </c>
      <c r="F213" s="7" t="n">
        <v>34888.7552719488</v>
      </c>
      <c r="G213" s="7" t="n">
        <v>21789.0300523454</v>
      </c>
      <c r="H213" s="7" t="n">
        <v>717.868103920833</v>
      </c>
      <c r="I213" s="7" t="n">
        <v>4705.9822483562</v>
      </c>
      <c r="J213" s="7" t="n">
        <v>22034.4859387916</v>
      </c>
      <c r="K213" s="7" t="n">
        <v>24400.4079770262</v>
      </c>
      <c r="L213" s="7" t="n">
        <v>23938.2183503012</v>
      </c>
      <c r="M213" s="7" t="n">
        <v>9577.30945199567</v>
      </c>
      <c r="N213" s="7" t="n">
        <v>11841.9948794295</v>
      </c>
      <c r="O213" s="7" t="n">
        <v>16616.7613917779</v>
      </c>
      <c r="P213" s="7" t="n">
        <v>13555.6862623905</v>
      </c>
      <c r="Q213" s="7" t="n">
        <v>10130.3586023262</v>
      </c>
      <c r="R213" s="7" t="n">
        <v>21636.1252422399</v>
      </c>
      <c r="S213" s="7" t="n">
        <v>32014.7225173392</v>
      </c>
      <c r="T213" s="7" t="n">
        <v>31033.3136000022</v>
      </c>
      <c r="U213" s="7" t="n">
        <v>18721.3825440936</v>
      </c>
      <c r="V213" s="7" t="n">
        <v>17591.2280707486</v>
      </c>
      <c r="W213" s="7" t="n">
        <v>17346.2174428487</v>
      </c>
      <c r="X213" s="7" t="n">
        <v>26098.7142907414</v>
      </c>
      <c r="Y213" s="7" t="n">
        <v>14940.9822576727</v>
      </c>
      <c r="Z213" s="7" t="n">
        <v>14826.06485335</v>
      </c>
      <c r="AA213" s="7" t="n">
        <v>581.575750394181</v>
      </c>
      <c r="AB213" s="7" t="n">
        <v>10116.2076204723</v>
      </c>
    </row>
    <row r="214" customFormat="false" ht="15" hidden="false" customHeight="false" outlineLevel="0" collapsed="false">
      <c r="A214" s="4" t="s">
        <v>239</v>
      </c>
      <c r="B214" s="4" t="s">
        <v>240</v>
      </c>
      <c r="C214" s="4" t="s">
        <v>112</v>
      </c>
      <c r="D214" s="4" t="s">
        <v>79</v>
      </c>
      <c r="E214" s="4" t="s">
        <v>93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</row>
    <row r="215" customFormat="false" ht="15" hidden="false" customHeight="false" outlineLevel="0" collapsed="false">
      <c r="A215" s="4" t="s">
        <v>241</v>
      </c>
      <c r="B215" s="4" t="s">
        <v>242</v>
      </c>
      <c r="C215" s="4" t="s">
        <v>104</v>
      </c>
      <c r="D215" s="4" t="s">
        <v>43</v>
      </c>
      <c r="E215" s="4" t="s">
        <v>91</v>
      </c>
      <c r="F215" s="7" t="n">
        <v>58.7319148614943</v>
      </c>
      <c r="G215" s="7" t="n">
        <v>100.622634946093</v>
      </c>
      <c r="H215" s="7" t="n">
        <v>36.1571801292455</v>
      </c>
      <c r="I215" s="7" t="n">
        <v>117.133495119251</v>
      </c>
      <c r="J215" s="7" t="n">
        <v>9.18609945370652</v>
      </c>
      <c r="K215" s="7" t="n">
        <v>14.9140086031058</v>
      </c>
      <c r="L215" s="7" t="n">
        <v>64.5989876729046</v>
      </c>
      <c r="M215" s="7" t="n">
        <v>157.649331544825</v>
      </c>
      <c r="N215" s="7" t="n">
        <v>128.12604053382</v>
      </c>
      <c r="O215" s="7" t="n">
        <v>12.9015490844727</v>
      </c>
      <c r="P215" s="7" t="n">
        <v>17.4468632377116</v>
      </c>
      <c r="Q215" s="7" t="n">
        <v>51.8959473208199</v>
      </c>
      <c r="R215" s="7" t="n">
        <v>173.830588156978</v>
      </c>
      <c r="S215" s="7" t="n">
        <v>311.366141617312</v>
      </c>
      <c r="T215" s="7" t="n">
        <v>40.7290792207367</v>
      </c>
      <c r="U215" s="7" t="n">
        <v>139.398791957266</v>
      </c>
      <c r="V215" s="7" t="n">
        <v>476.196404502623</v>
      </c>
      <c r="W215" s="7" t="n">
        <v>370.868103770776</v>
      </c>
      <c r="X215" s="7" t="n">
        <v>216.540256132549</v>
      </c>
      <c r="Y215" s="7" t="n">
        <v>0</v>
      </c>
      <c r="Z215" s="7" t="n">
        <v>70.1103500331205</v>
      </c>
      <c r="AA215" s="7" t="n">
        <v>45.6725865490861</v>
      </c>
      <c r="AB215" s="7" t="n">
        <v>92.7227027829555</v>
      </c>
    </row>
    <row r="216" customFormat="false" ht="15" hidden="false" customHeight="false" outlineLevel="0" collapsed="false">
      <c r="A216" s="4" t="s">
        <v>241</v>
      </c>
      <c r="B216" s="4" t="s">
        <v>242</v>
      </c>
      <c r="C216" s="4" t="s">
        <v>104</v>
      </c>
      <c r="D216" s="4" t="s">
        <v>43</v>
      </c>
      <c r="E216" s="4" t="s">
        <v>92</v>
      </c>
      <c r="F216" s="7" t="n">
        <v>42.1195559724134</v>
      </c>
      <c r="G216" s="7" t="n">
        <v>24.4303206412803</v>
      </c>
      <c r="H216" s="7" t="n">
        <v>9.64574357834103</v>
      </c>
      <c r="I216" s="7" t="n">
        <v>65.105161708788</v>
      </c>
      <c r="J216" s="7" t="n">
        <v>99.8642417038551</v>
      </c>
      <c r="K216" s="7" t="n">
        <v>79.152556837975</v>
      </c>
      <c r="L216" s="7" t="n">
        <v>67.9637987598418</v>
      </c>
      <c r="M216" s="7" t="n">
        <v>19.7706371533074</v>
      </c>
      <c r="N216" s="7" t="n">
        <v>12.4531453772316</v>
      </c>
      <c r="O216" s="7" t="n">
        <v>138.02370123279</v>
      </c>
      <c r="P216" s="7" t="n">
        <v>127.87792624538</v>
      </c>
      <c r="Q216" s="7" t="n">
        <v>182.73889908981</v>
      </c>
      <c r="R216" s="7" t="n">
        <v>0</v>
      </c>
      <c r="S216" s="7" t="n">
        <v>0</v>
      </c>
      <c r="T216" s="7" t="n">
        <v>0</v>
      </c>
      <c r="U216" s="7" t="n">
        <v>179.789660115704</v>
      </c>
      <c r="V216" s="7" t="n">
        <v>0</v>
      </c>
      <c r="W216" s="7" t="n">
        <v>0</v>
      </c>
      <c r="X216" s="7" t="n">
        <v>0</v>
      </c>
      <c r="Y216" s="7" t="n">
        <v>175.795874360854</v>
      </c>
      <c r="Z216" s="7" t="n">
        <v>16.7840274964396</v>
      </c>
      <c r="AA216" s="7" t="n">
        <v>93.2824842954011</v>
      </c>
      <c r="AB216" s="7" t="n">
        <v>147.344073043532</v>
      </c>
    </row>
    <row r="217" customFormat="false" ht="15" hidden="false" customHeight="false" outlineLevel="0" collapsed="false">
      <c r="A217" s="4" t="s">
        <v>241</v>
      </c>
      <c r="B217" s="4" t="s">
        <v>242</v>
      </c>
      <c r="C217" s="4" t="s">
        <v>104</v>
      </c>
      <c r="D217" s="4" t="s">
        <v>43</v>
      </c>
      <c r="E217" s="4" t="s">
        <v>93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</row>
    <row r="218" customFormat="false" ht="15" hidden="false" customHeight="false" outlineLevel="0" collapsed="false">
      <c r="A218" s="4" t="s">
        <v>243</v>
      </c>
      <c r="B218" s="4" t="s">
        <v>244</v>
      </c>
      <c r="C218" s="4" t="s">
        <v>112</v>
      </c>
      <c r="D218" s="4" t="s">
        <v>79</v>
      </c>
      <c r="E218" s="4" t="s">
        <v>91</v>
      </c>
      <c r="F218" s="7" t="n">
        <v>101.350320679244</v>
      </c>
      <c r="G218" s="7" t="n">
        <v>145.498399936681</v>
      </c>
      <c r="H218" s="7" t="n">
        <v>74.6079145092172</v>
      </c>
      <c r="I218" s="7" t="n">
        <v>258.637197817386</v>
      </c>
      <c r="J218" s="7" t="n">
        <v>53.1283373309382</v>
      </c>
      <c r="K218" s="7" t="n">
        <v>99.9268838708798</v>
      </c>
      <c r="L218" s="7" t="n">
        <v>216.452923768001</v>
      </c>
      <c r="M218" s="7" t="n">
        <v>212.032171825852</v>
      </c>
      <c r="N218" s="7" t="n">
        <v>200.185848867464</v>
      </c>
      <c r="O218" s="7" t="n">
        <v>141.630742700135</v>
      </c>
      <c r="P218" s="7" t="n">
        <v>204.62190403309</v>
      </c>
      <c r="Q218" s="7" t="n">
        <v>295.073536411729</v>
      </c>
      <c r="R218" s="7" t="n">
        <v>123.429819642635</v>
      </c>
      <c r="S218" s="7" t="n">
        <v>35.3166610450894</v>
      </c>
      <c r="T218" s="7" t="n">
        <v>18.6801487623985</v>
      </c>
      <c r="U218" s="7" t="n">
        <v>49.8332088745117</v>
      </c>
      <c r="V218" s="7" t="n">
        <v>17.2426103701603</v>
      </c>
      <c r="W218" s="7" t="n">
        <v>20.332534552002</v>
      </c>
      <c r="X218" s="7" t="n">
        <v>42.2638404449876</v>
      </c>
      <c r="Y218" s="7" t="n">
        <v>56.6434289254638</v>
      </c>
      <c r="Z218" s="7" t="n">
        <v>19.3450418358951</v>
      </c>
      <c r="AA218" s="7" t="n">
        <v>19.5597399464352</v>
      </c>
      <c r="AB218" s="7" t="n">
        <v>24.9001630922733</v>
      </c>
    </row>
    <row r="219" customFormat="false" ht="15" hidden="false" customHeight="false" outlineLevel="0" collapsed="false">
      <c r="A219" s="4" t="s">
        <v>243</v>
      </c>
      <c r="B219" s="4" t="s">
        <v>244</v>
      </c>
      <c r="C219" s="4" t="s">
        <v>112</v>
      </c>
      <c r="D219" s="4" t="s">
        <v>79</v>
      </c>
      <c r="E219" s="4" t="s">
        <v>92</v>
      </c>
      <c r="F219" s="7" t="n">
        <v>125.382225216099</v>
      </c>
      <c r="G219" s="7" t="n">
        <v>6.54240309951861</v>
      </c>
      <c r="H219" s="7" t="n">
        <v>2.80023535010707</v>
      </c>
      <c r="I219" s="7" t="n">
        <v>6.86430210926595</v>
      </c>
      <c r="J219" s="7" t="n">
        <v>66.4507794254785</v>
      </c>
      <c r="K219" s="7" t="n">
        <v>5.13317120436227</v>
      </c>
      <c r="L219" s="7" t="n">
        <v>0.394436242180436</v>
      </c>
      <c r="M219" s="7" t="n">
        <v>0</v>
      </c>
      <c r="N219" s="7" t="n">
        <v>0.0430605902787814</v>
      </c>
      <c r="O219" s="7" t="n">
        <v>2.25919838014614</v>
      </c>
      <c r="P219" s="7" t="n">
        <v>6.48200039013077</v>
      </c>
      <c r="Q219" s="7" t="n">
        <v>13.2375386229722</v>
      </c>
      <c r="R219" s="7" t="n">
        <v>96.4634324845378</v>
      </c>
      <c r="S219" s="7" t="n">
        <v>222.368979839785</v>
      </c>
      <c r="T219" s="7" t="n">
        <v>150.602333066885</v>
      </c>
      <c r="U219" s="7" t="n">
        <v>332.310388275817</v>
      </c>
      <c r="V219" s="7" t="n">
        <v>189.415852446792</v>
      </c>
      <c r="W219" s="7" t="n">
        <v>114.269120478611</v>
      </c>
      <c r="X219" s="7" t="n">
        <v>13.1611787193574</v>
      </c>
      <c r="Y219" s="7" t="n">
        <v>11.8891280143532</v>
      </c>
      <c r="Z219" s="7" t="n">
        <v>22.2455008093685</v>
      </c>
      <c r="AA219" s="7" t="n">
        <v>11.8695453685062</v>
      </c>
      <c r="AB219" s="7" t="n">
        <v>11.2195219663205</v>
      </c>
    </row>
    <row r="220" customFormat="false" ht="15" hidden="false" customHeight="false" outlineLevel="0" collapsed="false">
      <c r="A220" s="4" t="s">
        <v>243</v>
      </c>
      <c r="B220" s="4" t="s">
        <v>244</v>
      </c>
      <c r="C220" s="4" t="s">
        <v>112</v>
      </c>
      <c r="D220" s="4" t="s">
        <v>79</v>
      </c>
      <c r="E220" s="4" t="s">
        <v>93</v>
      </c>
      <c r="F220" s="7" t="n">
        <v>12.2853309745352</v>
      </c>
      <c r="G220" s="7" t="n">
        <v>1.27776245595924</v>
      </c>
      <c r="H220" s="7" t="n">
        <v>0.714186432155737</v>
      </c>
      <c r="I220" s="7" t="n">
        <v>2.14243008909783</v>
      </c>
      <c r="J220" s="7" t="n">
        <v>18.9855540048473</v>
      </c>
      <c r="K220" s="7" t="n">
        <v>1.43465760168807</v>
      </c>
      <c r="L220" s="7" t="n">
        <v>0.6578893284132</v>
      </c>
      <c r="M220" s="7" t="n">
        <v>0.753436638887008</v>
      </c>
      <c r="N220" s="7" t="n">
        <v>0.698856728708827</v>
      </c>
      <c r="O220" s="7" t="n">
        <v>1.78414799131485</v>
      </c>
      <c r="P220" s="7" t="n">
        <v>2.44093842707284</v>
      </c>
      <c r="Q220" s="7" t="n">
        <v>5.25036792141113</v>
      </c>
      <c r="R220" s="7" t="n">
        <v>12.2475855782648</v>
      </c>
      <c r="S220" s="7" t="n">
        <v>6.95196036407215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</row>
    <row r="221" customFormat="false" ht="15" hidden="false" customHeight="false" outlineLevel="0" collapsed="false">
      <c r="A221" s="4" t="s">
        <v>245</v>
      </c>
      <c r="B221" s="4" t="s">
        <v>246</v>
      </c>
      <c r="C221" s="4" t="s">
        <v>104</v>
      </c>
      <c r="D221" s="4" t="s">
        <v>41</v>
      </c>
      <c r="E221" s="4" t="s">
        <v>91</v>
      </c>
      <c r="F221" s="7" t="n">
        <v>228.265731467036</v>
      </c>
      <c r="G221" s="7" t="n">
        <v>182.900326604235</v>
      </c>
      <c r="H221" s="7" t="n">
        <v>117.215929386861</v>
      </c>
      <c r="I221" s="7" t="n">
        <v>77.2878873605967</v>
      </c>
      <c r="J221" s="7" t="n">
        <v>42.9498483355593</v>
      </c>
      <c r="K221" s="7" t="n">
        <v>47.1806865336101</v>
      </c>
      <c r="L221" s="7" t="n">
        <v>58.8014672063371</v>
      </c>
      <c r="M221" s="7" t="n">
        <v>47.6987327210909</v>
      </c>
      <c r="N221" s="7" t="n">
        <v>65.1161835397518</v>
      </c>
      <c r="O221" s="7" t="n">
        <v>98.2983930624809</v>
      </c>
      <c r="P221" s="7" t="n">
        <v>67.1770232376158</v>
      </c>
      <c r="Q221" s="7" t="n">
        <v>98.0819720996333</v>
      </c>
      <c r="R221" s="7" t="n">
        <v>115.417516161514</v>
      </c>
      <c r="S221" s="7" t="n">
        <v>354.596723293949</v>
      </c>
      <c r="T221" s="7" t="n">
        <v>338.60903339609</v>
      </c>
      <c r="U221" s="7" t="n">
        <v>697.423847660152</v>
      </c>
      <c r="V221" s="7" t="n">
        <v>640.686271880481</v>
      </c>
      <c r="W221" s="7" t="n">
        <v>736.646799948396</v>
      </c>
      <c r="X221" s="7" t="n">
        <v>292.703232833946</v>
      </c>
      <c r="Y221" s="7" t="n">
        <v>77.7606250019268</v>
      </c>
      <c r="Z221" s="7" t="n">
        <v>19.9774462169238</v>
      </c>
      <c r="AA221" s="7" t="n">
        <v>0</v>
      </c>
      <c r="AB221" s="7" t="n">
        <v>62.8851378161779</v>
      </c>
    </row>
    <row r="222" customFormat="false" ht="15" hidden="false" customHeight="false" outlineLevel="0" collapsed="false">
      <c r="A222" s="4" t="s">
        <v>245</v>
      </c>
      <c r="B222" s="4" t="s">
        <v>246</v>
      </c>
      <c r="C222" s="4" t="s">
        <v>104</v>
      </c>
      <c r="D222" s="4" t="s">
        <v>41</v>
      </c>
      <c r="E222" s="4" t="s">
        <v>92</v>
      </c>
      <c r="F222" s="7" t="n">
        <v>6.04690691462488</v>
      </c>
      <c r="G222" s="7" t="n">
        <v>3.76163957680198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57.741436315918</v>
      </c>
      <c r="Q222" s="7" t="n">
        <v>117.816451765687</v>
      </c>
      <c r="R222" s="7" t="n">
        <v>65.1127541176198</v>
      </c>
      <c r="S222" s="7" t="n">
        <v>213.170612382177</v>
      </c>
      <c r="T222" s="7" t="n">
        <v>112.769668664289</v>
      </c>
      <c r="U222" s="7" t="n">
        <v>141.069716277334</v>
      </c>
      <c r="V222" s="7" t="n">
        <v>0</v>
      </c>
      <c r="W222" s="7" t="n">
        <v>0</v>
      </c>
      <c r="X222" s="7" t="n">
        <v>0</v>
      </c>
      <c r="Y222" s="7" t="n">
        <v>41.6641967467424</v>
      </c>
      <c r="Z222" s="7" t="n">
        <v>85.6483000822872</v>
      </c>
      <c r="AA222" s="7" t="n">
        <v>113.90311882645</v>
      </c>
      <c r="AB222" s="7" t="n">
        <v>87.9544107725935</v>
      </c>
    </row>
    <row r="223" customFormat="false" ht="15" hidden="false" customHeight="false" outlineLevel="0" collapsed="false">
      <c r="A223" s="4" t="s">
        <v>245</v>
      </c>
      <c r="B223" s="4" t="s">
        <v>246</v>
      </c>
      <c r="C223" s="4" t="s">
        <v>104</v>
      </c>
      <c r="D223" s="4" t="s">
        <v>41</v>
      </c>
      <c r="E223" s="4" t="s">
        <v>93</v>
      </c>
      <c r="F223" s="7" t="n">
        <v>3289.9664164832</v>
      </c>
      <c r="G223" s="7" t="n">
        <v>3228.1828622184</v>
      </c>
      <c r="H223" s="7" t="n">
        <v>2678.40012648865</v>
      </c>
      <c r="I223" s="7" t="n">
        <v>5367.75859968185</v>
      </c>
      <c r="J223" s="7" t="n">
        <v>4507.39348131084</v>
      </c>
      <c r="K223" s="7" t="n">
        <v>3422.7800485725</v>
      </c>
      <c r="L223" s="7" t="n">
        <v>3999.91002975184</v>
      </c>
      <c r="M223" s="7" t="n">
        <v>3655.36721687282</v>
      </c>
      <c r="N223" s="7" t="n">
        <v>3733.66666666667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</row>
    <row r="224" customFormat="false" ht="15" hidden="false" customHeight="false" outlineLevel="0" collapsed="false">
      <c r="A224" s="4" t="s">
        <v>247</v>
      </c>
      <c r="B224" s="4" t="s">
        <v>86</v>
      </c>
      <c r="C224" s="4" t="s">
        <v>146</v>
      </c>
      <c r="D224" s="4" t="s">
        <v>85</v>
      </c>
      <c r="E224" s="4" t="s">
        <v>91</v>
      </c>
      <c r="F224" s="7" t="n">
        <v>179929.0594931</v>
      </c>
      <c r="G224" s="7" t="n">
        <v>216227.770263367</v>
      </c>
      <c r="H224" s="7" t="n">
        <v>133892.170423542</v>
      </c>
      <c r="I224" s="7" t="n">
        <v>462976.93860004</v>
      </c>
      <c r="J224" s="7" t="n">
        <v>501055.630042695</v>
      </c>
      <c r="K224" s="7" t="n">
        <v>619359.26180863</v>
      </c>
      <c r="L224" s="7" t="n">
        <v>554402.374600373</v>
      </c>
      <c r="M224" s="7" t="n">
        <v>631423.324634165</v>
      </c>
      <c r="N224" s="7" t="n">
        <v>916678.887357875</v>
      </c>
      <c r="O224" s="7" t="n">
        <v>599527.349674976</v>
      </c>
      <c r="P224" s="7" t="n">
        <v>690651.852984605</v>
      </c>
      <c r="Q224" s="7" t="n">
        <v>967161.102365761</v>
      </c>
      <c r="R224" s="7" t="n">
        <v>467623.411745427</v>
      </c>
      <c r="S224" s="7" t="n">
        <v>631015.392979756</v>
      </c>
      <c r="T224" s="7" t="n">
        <v>439079.041838429</v>
      </c>
      <c r="U224" s="7" t="n">
        <v>442597.668225956</v>
      </c>
      <c r="V224" s="7" t="n">
        <v>305609.657270426</v>
      </c>
      <c r="W224" s="7" t="n">
        <v>291071.75839418</v>
      </c>
      <c r="X224" s="7" t="n">
        <v>228042.817739585</v>
      </c>
      <c r="Y224" s="7" t="n">
        <v>126214.587126282</v>
      </c>
      <c r="Z224" s="7" t="n">
        <v>88837.4011304502</v>
      </c>
      <c r="AA224" s="7" t="n">
        <v>73549.7705581739</v>
      </c>
      <c r="AB224" s="7" t="n">
        <v>92411.6742106456</v>
      </c>
    </row>
    <row r="225" customFormat="false" ht="15" hidden="false" customHeight="false" outlineLevel="0" collapsed="false">
      <c r="A225" s="4" t="s">
        <v>247</v>
      </c>
      <c r="B225" s="4" t="s">
        <v>86</v>
      </c>
      <c r="C225" s="4" t="s">
        <v>146</v>
      </c>
      <c r="D225" s="4" t="s">
        <v>85</v>
      </c>
      <c r="E225" s="4" t="s">
        <v>92</v>
      </c>
      <c r="F225" s="7" t="n">
        <v>223.687827984356</v>
      </c>
      <c r="G225" s="7" t="n">
        <v>172.098009736433</v>
      </c>
      <c r="H225" s="7" t="n">
        <v>563.27474608138</v>
      </c>
      <c r="I225" s="7" t="n">
        <v>1400.94809272813</v>
      </c>
      <c r="J225" s="7" t="n">
        <v>1570.47533026219</v>
      </c>
      <c r="K225" s="7" t="n">
        <v>2663.68482224418</v>
      </c>
      <c r="L225" s="7" t="n">
        <v>5545.14434732849</v>
      </c>
      <c r="M225" s="7" t="n">
        <v>4437.24276472095</v>
      </c>
      <c r="N225" s="7" t="n">
        <v>9110.29012708933</v>
      </c>
      <c r="O225" s="7" t="n">
        <v>2932.7080745856</v>
      </c>
      <c r="P225" s="7" t="n">
        <v>6205.84327674074</v>
      </c>
      <c r="Q225" s="7" t="n">
        <v>19006.5755482146</v>
      </c>
      <c r="R225" s="7" t="n">
        <v>8650.64509004605</v>
      </c>
      <c r="S225" s="7" t="n">
        <v>28734.9032558006</v>
      </c>
      <c r="T225" s="7" t="n">
        <v>6402.78302868638</v>
      </c>
      <c r="U225" s="7" t="n">
        <v>11515.1946015796</v>
      </c>
      <c r="V225" s="7" t="n">
        <v>4348.48545852135</v>
      </c>
      <c r="W225" s="7" t="n">
        <v>5913.57641370273</v>
      </c>
      <c r="X225" s="7" t="n">
        <v>9596.20125105533</v>
      </c>
      <c r="Y225" s="7" t="n">
        <v>10993.2686605205</v>
      </c>
      <c r="Z225" s="7" t="n">
        <v>13682.5006915719</v>
      </c>
      <c r="AA225" s="7" t="n">
        <v>9255.21729276211</v>
      </c>
      <c r="AB225" s="7" t="n">
        <v>8083.74858136611</v>
      </c>
    </row>
    <row r="226" customFormat="false" ht="15" hidden="false" customHeight="false" outlineLevel="0" collapsed="false">
      <c r="A226" s="4" t="s">
        <v>247</v>
      </c>
      <c r="B226" s="4" t="s">
        <v>86</v>
      </c>
      <c r="C226" s="4" t="s">
        <v>146</v>
      </c>
      <c r="D226" s="4" t="s">
        <v>85</v>
      </c>
      <c r="E226" s="4" t="s">
        <v>93</v>
      </c>
      <c r="F226" s="7" t="n">
        <v>24165.2476967036</v>
      </c>
      <c r="G226" s="7" t="n">
        <v>31340.8889033101</v>
      </c>
      <c r="H226" s="7" t="n">
        <v>12434.428012852</v>
      </c>
      <c r="I226" s="7" t="n">
        <v>69352.7802168408</v>
      </c>
      <c r="J226" s="7" t="n">
        <v>59173.4943070648</v>
      </c>
      <c r="K226" s="7" t="n">
        <v>61197.6215438788</v>
      </c>
      <c r="L226" s="7" t="n">
        <v>83970.2023410439</v>
      </c>
      <c r="M226" s="7" t="n">
        <v>74111.0657485039</v>
      </c>
      <c r="N226" s="7" t="n">
        <v>60958.640266765</v>
      </c>
      <c r="O226" s="7" t="n">
        <v>100200.903580895</v>
      </c>
      <c r="P226" s="7" t="n">
        <v>116092.906053287</v>
      </c>
      <c r="Q226" s="7" t="n">
        <v>137828.10982868</v>
      </c>
      <c r="R226" s="7" t="n">
        <v>50988.4559187668</v>
      </c>
      <c r="S226" s="7" t="n">
        <v>33346.2481072342</v>
      </c>
      <c r="T226" s="7" t="n">
        <v>43666.0551527966</v>
      </c>
      <c r="U226" s="7" t="n">
        <v>72710.2980069214</v>
      </c>
      <c r="V226" s="7" t="n">
        <v>49859.6577768671</v>
      </c>
      <c r="W226" s="7" t="n">
        <v>35919.4040557682</v>
      </c>
      <c r="X226" s="7" t="n">
        <v>37910.522789595</v>
      </c>
      <c r="Y226" s="7" t="n">
        <v>18141.0716278251</v>
      </c>
      <c r="Z226" s="7" t="n">
        <v>10654.3489847608</v>
      </c>
      <c r="AA226" s="7" t="n">
        <v>5633.72047770857</v>
      </c>
      <c r="AB226" s="7" t="n">
        <v>5805.07990582944</v>
      </c>
    </row>
    <row r="227" customFormat="false" ht="15" hidden="false" customHeight="false" outlineLevel="0" collapsed="false">
      <c r="A227" s="4" t="s">
        <v>51</v>
      </c>
      <c r="B227" s="4" t="s">
        <v>52</v>
      </c>
      <c r="C227" s="4" t="s">
        <v>99</v>
      </c>
      <c r="D227" s="4" t="s">
        <v>51</v>
      </c>
      <c r="E227" s="4" t="s">
        <v>91</v>
      </c>
      <c r="F227" s="7" t="n">
        <v>39378.2042723992</v>
      </c>
      <c r="G227" s="7" t="n">
        <v>14414.9139213188</v>
      </c>
      <c r="H227" s="7" t="n">
        <v>10914.2310539947</v>
      </c>
      <c r="I227" s="7" t="n">
        <v>1972.24619589629</v>
      </c>
      <c r="J227" s="7" t="n">
        <v>13687.5566642047</v>
      </c>
      <c r="K227" s="7" t="n">
        <v>49843.3212115036</v>
      </c>
      <c r="L227" s="7" t="n">
        <v>51428.8141497495</v>
      </c>
      <c r="M227" s="7" t="n">
        <v>57759.8161026954</v>
      </c>
      <c r="N227" s="7" t="n">
        <v>5357.47767493542</v>
      </c>
      <c r="O227" s="7" t="n">
        <v>35723.6184079814</v>
      </c>
      <c r="P227" s="7" t="n">
        <v>60234.8964301457</v>
      </c>
      <c r="Q227" s="7" t="n">
        <v>61981.3298218769</v>
      </c>
      <c r="R227" s="7" t="n">
        <v>48448.9183466006</v>
      </c>
      <c r="S227" s="7" t="n">
        <v>15147.1605614892</v>
      </c>
      <c r="T227" s="7" t="n">
        <v>17439.2120923519</v>
      </c>
      <c r="U227" s="7" t="n">
        <v>31192.7574909953</v>
      </c>
      <c r="V227" s="7" t="n">
        <v>2332.53895583822</v>
      </c>
      <c r="W227" s="7" t="n">
        <v>46955.5860914198</v>
      </c>
      <c r="X227" s="7" t="n">
        <v>84098.1273549294</v>
      </c>
      <c r="Y227" s="7" t="n">
        <v>122212.61468939</v>
      </c>
      <c r="Z227" s="7" t="n">
        <v>116298.774887572</v>
      </c>
      <c r="AA227" s="7" t="n">
        <v>104203.797848895</v>
      </c>
      <c r="AB227" s="7" t="n">
        <v>124735.809864774</v>
      </c>
    </row>
    <row r="228" customFormat="false" ht="15" hidden="false" customHeight="false" outlineLevel="0" collapsed="false">
      <c r="A228" s="4" t="s">
        <v>51</v>
      </c>
      <c r="B228" s="4" t="s">
        <v>52</v>
      </c>
      <c r="C228" s="4" t="s">
        <v>99</v>
      </c>
      <c r="D228" s="4" t="s">
        <v>51</v>
      </c>
      <c r="E228" s="4" t="s">
        <v>92</v>
      </c>
      <c r="F228" s="7" t="n">
        <v>8333.48982025697</v>
      </c>
      <c r="G228" s="7" t="n">
        <v>26843.1961564129</v>
      </c>
      <c r="H228" s="7" t="n">
        <v>25632.358691247</v>
      </c>
      <c r="I228" s="7" t="n">
        <v>47527.1413803186</v>
      </c>
      <c r="J228" s="7" t="n">
        <v>16395.7433469182</v>
      </c>
      <c r="K228" s="7" t="n">
        <v>736.604116617892</v>
      </c>
      <c r="L228" s="7" t="n">
        <v>2989.32099461098</v>
      </c>
      <c r="M228" s="7" t="n">
        <v>6140.6527098275</v>
      </c>
      <c r="N228" s="7" t="n">
        <v>20765.4165872811</v>
      </c>
      <c r="O228" s="7" t="n">
        <v>1754.51063897261</v>
      </c>
      <c r="P228" s="7" t="n">
        <v>8011.4796289582</v>
      </c>
      <c r="Q228" s="7" t="n">
        <v>11185.8600220673</v>
      </c>
      <c r="R228" s="7" t="n">
        <v>20638.4709671501</v>
      </c>
      <c r="S228" s="7" t="n">
        <v>84915.3322251152</v>
      </c>
      <c r="T228" s="7" t="n">
        <v>77496.6702166048</v>
      </c>
      <c r="U228" s="7" t="n">
        <v>115134.747119783</v>
      </c>
      <c r="V228" s="7" t="n">
        <v>139941.998711915</v>
      </c>
      <c r="W228" s="7" t="n">
        <v>74276.5499143428</v>
      </c>
      <c r="X228" s="7" t="n">
        <v>25258.3273951447</v>
      </c>
      <c r="Y228" s="7" t="n">
        <v>0</v>
      </c>
      <c r="Z228" s="7" t="n">
        <v>1389.36045918268</v>
      </c>
      <c r="AA228" s="7" t="n">
        <v>3281.76664874782</v>
      </c>
      <c r="AB228" s="7" t="n">
        <v>2099.43040061759</v>
      </c>
    </row>
    <row r="229" customFormat="false" ht="15" hidden="false" customHeight="false" outlineLevel="0" collapsed="false">
      <c r="A229" s="4" t="s">
        <v>51</v>
      </c>
      <c r="B229" s="4" t="s">
        <v>52</v>
      </c>
      <c r="C229" s="4" t="s">
        <v>99</v>
      </c>
      <c r="D229" s="4" t="s">
        <v>51</v>
      </c>
      <c r="E229" s="4" t="s">
        <v>93</v>
      </c>
      <c r="F229" s="7" t="n">
        <v>9027.18361714359</v>
      </c>
      <c r="G229" s="7" t="n">
        <v>7191.95540887502</v>
      </c>
      <c r="H229" s="7" t="n">
        <v>6416.68653526943</v>
      </c>
      <c r="I229" s="7" t="n">
        <v>10043.1462014615</v>
      </c>
      <c r="J229" s="7" t="n">
        <v>8674.1815698514</v>
      </c>
      <c r="K229" s="7" t="n">
        <v>7997.52172835922</v>
      </c>
      <c r="L229" s="7" t="n">
        <v>8413.50091507642</v>
      </c>
      <c r="M229" s="7" t="n">
        <v>9457.8197108023</v>
      </c>
      <c r="N229" s="7" t="n">
        <v>7944.44233976718</v>
      </c>
      <c r="O229" s="7" t="n">
        <v>5509.19858510226</v>
      </c>
      <c r="P229" s="7" t="n">
        <v>8186.84878756848</v>
      </c>
      <c r="Q229" s="7" t="n">
        <v>9714.69124806364</v>
      </c>
      <c r="R229" s="7" t="n">
        <v>9352.15400237794</v>
      </c>
      <c r="S229" s="7" t="n">
        <v>13038.642338606</v>
      </c>
      <c r="T229" s="7" t="n">
        <v>10673.2456773405</v>
      </c>
      <c r="U229" s="7" t="n">
        <v>14922.8757618537</v>
      </c>
      <c r="V229" s="7" t="n">
        <v>11144.5413055561</v>
      </c>
      <c r="W229" s="7" t="n">
        <v>6769.71386198403</v>
      </c>
      <c r="X229" s="7" t="n">
        <v>6996.16936841755</v>
      </c>
      <c r="Y229" s="7" t="n">
        <v>9866.94667046591</v>
      </c>
      <c r="Z229" s="7" t="n">
        <v>9089.21755792445</v>
      </c>
      <c r="AA229" s="7" t="n">
        <v>8539.52533737177</v>
      </c>
      <c r="AB229" s="7" t="n">
        <v>8049.76310483571</v>
      </c>
    </row>
    <row r="230" customFormat="false" ht="15" hidden="false" customHeight="false" outlineLevel="0" collapsed="false">
      <c r="A230" s="4" t="s">
        <v>248</v>
      </c>
      <c r="B230" s="4" t="s">
        <v>249</v>
      </c>
      <c r="C230" s="4" t="s">
        <v>104</v>
      </c>
      <c r="D230" s="4" t="s">
        <v>41</v>
      </c>
      <c r="E230" s="4" t="s">
        <v>91</v>
      </c>
      <c r="F230" s="7" t="n">
        <v>2312.08088720751</v>
      </c>
      <c r="G230" s="7" t="n">
        <v>151.439088424731</v>
      </c>
      <c r="H230" s="7" t="n">
        <v>31.2140969817278</v>
      </c>
      <c r="I230" s="7" t="n">
        <v>129.930743298687</v>
      </c>
      <c r="J230" s="7" t="n">
        <v>67.9091775488999</v>
      </c>
      <c r="K230" s="7" t="n">
        <v>41.0665970092774</v>
      </c>
      <c r="L230" s="7" t="n">
        <v>86.4249506758267</v>
      </c>
      <c r="M230" s="7" t="n">
        <v>119.723806308498</v>
      </c>
      <c r="N230" s="7" t="n">
        <v>543.184674231449</v>
      </c>
      <c r="O230" s="7" t="n">
        <v>215.072086490653</v>
      </c>
      <c r="P230" s="7" t="n">
        <v>270.409899626712</v>
      </c>
      <c r="Q230" s="7" t="n">
        <v>68.7101849221144</v>
      </c>
      <c r="R230" s="7" t="n">
        <v>12.3811065279493</v>
      </c>
      <c r="S230" s="7" t="n">
        <v>11.2577110351563</v>
      </c>
      <c r="T230" s="7" t="n">
        <v>5.94466111450195</v>
      </c>
      <c r="U230" s="7" t="n">
        <v>25.4493124755859</v>
      </c>
      <c r="V230" s="7" t="n">
        <v>58.5125245361328</v>
      </c>
      <c r="W230" s="7" t="n">
        <v>59.5490878234864</v>
      </c>
      <c r="X230" s="7" t="n">
        <v>41.6206502192006</v>
      </c>
      <c r="Y230" s="7" t="n">
        <v>0</v>
      </c>
      <c r="Z230" s="7" t="n">
        <v>22.9986037126518</v>
      </c>
      <c r="AA230" s="7" t="n">
        <v>0</v>
      </c>
      <c r="AB230" s="7" t="n">
        <v>24.19565321786</v>
      </c>
    </row>
    <row r="231" customFormat="false" ht="15" hidden="false" customHeight="false" outlineLevel="0" collapsed="false">
      <c r="A231" s="4" t="s">
        <v>248</v>
      </c>
      <c r="B231" s="4" t="s">
        <v>249</v>
      </c>
      <c r="C231" s="4" t="s">
        <v>104</v>
      </c>
      <c r="D231" s="4" t="s">
        <v>41</v>
      </c>
      <c r="E231" s="4" t="s">
        <v>92</v>
      </c>
      <c r="F231" s="7" t="n">
        <v>0</v>
      </c>
      <c r="G231" s="7" t="n">
        <v>0</v>
      </c>
      <c r="H231" s="7" t="n">
        <v>0</v>
      </c>
      <c r="I231" s="7" t="n">
        <v>506.498531907634</v>
      </c>
      <c r="J231" s="7" t="n">
        <v>885.780884130094</v>
      </c>
      <c r="K231" s="7" t="n">
        <v>622.339310758854</v>
      </c>
      <c r="L231" s="7" t="n">
        <v>451.093370281103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21.8959160439086</v>
      </c>
      <c r="S231" s="7" t="n">
        <v>33.7265284937099</v>
      </c>
      <c r="T231" s="7" t="n">
        <v>22.3233261231208</v>
      </c>
      <c r="U231" s="7" t="n">
        <v>21.5153251966095</v>
      </c>
      <c r="V231" s="7" t="n">
        <v>30.0648633191054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</row>
    <row r="232" customFormat="false" ht="15" hidden="false" customHeight="false" outlineLevel="0" collapsed="false">
      <c r="A232" s="4" t="s">
        <v>248</v>
      </c>
      <c r="B232" s="4" t="s">
        <v>249</v>
      </c>
      <c r="C232" s="4" t="s">
        <v>104</v>
      </c>
      <c r="D232" s="4" t="s">
        <v>41</v>
      </c>
      <c r="E232" s="4" t="s">
        <v>93</v>
      </c>
      <c r="F232" s="7" t="n">
        <v>3530.04424732083</v>
      </c>
      <c r="G232" s="7" t="n">
        <v>2124.17719489381</v>
      </c>
      <c r="H232" s="7" t="n">
        <v>931.230477841558</v>
      </c>
      <c r="I232" s="7" t="n">
        <v>2782.33095549192</v>
      </c>
      <c r="J232" s="7" t="n">
        <v>2871.13799435591</v>
      </c>
      <c r="K232" s="7" t="n">
        <v>2030.39950579546</v>
      </c>
      <c r="L232" s="7" t="n">
        <v>3286.34787195485</v>
      </c>
      <c r="M232" s="7" t="n">
        <v>2047.24734685292</v>
      </c>
      <c r="N232" s="7" t="n">
        <v>2277.43630222528</v>
      </c>
      <c r="O232" s="7" t="n">
        <v>1176.54464250802</v>
      </c>
      <c r="P232" s="7" t="n">
        <v>888.490433427535</v>
      </c>
      <c r="Q232" s="7" t="n">
        <v>1517.06159407399</v>
      </c>
      <c r="R232" s="7" t="n">
        <v>1460.40775012101</v>
      </c>
      <c r="S232" s="7" t="n">
        <v>1897.30430724524</v>
      </c>
      <c r="T232" s="7" t="n">
        <v>1517.49486199871</v>
      </c>
      <c r="U232" s="7" t="n">
        <v>3403.33333333333</v>
      </c>
      <c r="V232" s="7" t="n">
        <v>2620.48812693284</v>
      </c>
      <c r="W232" s="7" t="n">
        <v>3891.77090713068</v>
      </c>
      <c r="X232" s="7" t="n">
        <v>4000</v>
      </c>
      <c r="Y232" s="7" t="n">
        <v>3573.94686811983</v>
      </c>
      <c r="Z232" s="7" t="n">
        <v>4000</v>
      </c>
      <c r="AA232" s="7" t="n">
        <v>3822.10486517491</v>
      </c>
      <c r="AB232" s="7" t="n">
        <v>3760.44522356894</v>
      </c>
    </row>
    <row r="233" customFormat="false" ht="15" hidden="false" customHeight="false" outlineLevel="0" collapsed="false">
      <c r="A233" s="4" t="s">
        <v>250</v>
      </c>
      <c r="B233" s="4" t="s">
        <v>251</v>
      </c>
      <c r="C233" s="4" t="s">
        <v>99</v>
      </c>
      <c r="D233" s="4" t="s">
        <v>77</v>
      </c>
      <c r="E233" s="4" t="s">
        <v>91</v>
      </c>
      <c r="F233" s="7" t="n">
        <v>158.832537685197</v>
      </c>
      <c r="G233" s="7" t="n">
        <v>190.196812700106</v>
      </c>
      <c r="H233" s="7" t="n">
        <v>172.696432157921</v>
      </c>
      <c r="I233" s="7" t="n">
        <v>85.1117643041422</v>
      </c>
      <c r="J233" s="7" t="n">
        <v>17.4977418884277</v>
      </c>
      <c r="K233" s="7" t="n">
        <v>12.3307183959482</v>
      </c>
      <c r="L233" s="7" t="n">
        <v>8.21392302856446</v>
      </c>
      <c r="M233" s="7" t="n">
        <v>23.1403739685059</v>
      </c>
      <c r="N233" s="7" t="n">
        <v>4.42994479370117</v>
      </c>
      <c r="O233" s="7" t="n">
        <v>21.1151143981934</v>
      </c>
      <c r="P233" s="7" t="n">
        <v>11.1195428039551</v>
      </c>
      <c r="Q233" s="7" t="n">
        <v>20.6423569885254</v>
      </c>
      <c r="R233" s="7" t="n">
        <v>13.1763755193644</v>
      </c>
      <c r="S233" s="7" t="n">
        <v>21.0184701605008</v>
      </c>
      <c r="T233" s="7" t="n">
        <v>0</v>
      </c>
      <c r="U233" s="7" t="n">
        <v>0.402947628756093</v>
      </c>
      <c r="V233" s="7" t="n">
        <v>28.2580298676257</v>
      </c>
      <c r="W233" s="7" t="n">
        <v>3.23446124557443</v>
      </c>
      <c r="X233" s="7" t="n">
        <v>7.64645016062387</v>
      </c>
      <c r="Y233" s="7" t="n">
        <v>1.58161589513092</v>
      </c>
      <c r="Z233" s="7" t="n">
        <v>0.208284436973924</v>
      </c>
      <c r="AA233" s="7" t="n">
        <v>0.707917422624748</v>
      </c>
      <c r="AB233" s="7" t="n">
        <v>1.41478207425395</v>
      </c>
    </row>
    <row r="234" customFormat="false" ht="15" hidden="false" customHeight="false" outlineLevel="0" collapsed="false">
      <c r="A234" s="4" t="s">
        <v>250</v>
      </c>
      <c r="B234" s="4" t="s">
        <v>251</v>
      </c>
      <c r="C234" s="4" t="s">
        <v>99</v>
      </c>
      <c r="D234" s="4" t="s">
        <v>77</v>
      </c>
      <c r="E234" s="4" t="s">
        <v>92</v>
      </c>
      <c r="F234" s="7" t="n">
        <v>18.9314924110816</v>
      </c>
      <c r="G234" s="7" t="n">
        <v>0</v>
      </c>
      <c r="H234" s="7" t="n">
        <v>0</v>
      </c>
      <c r="I234" s="7" t="n">
        <v>0</v>
      </c>
      <c r="J234" s="7" t="n">
        <v>29.996027666309</v>
      </c>
      <c r="K234" s="7" t="n">
        <v>23.6313745177704</v>
      </c>
      <c r="L234" s="7" t="n">
        <v>24.1359378827478</v>
      </c>
      <c r="M234" s="7" t="n">
        <v>45.9903349776693</v>
      </c>
      <c r="N234" s="7" t="n">
        <v>33.8686310617866</v>
      </c>
      <c r="O234" s="7" t="n">
        <v>35.4164130310059</v>
      </c>
      <c r="P234" s="7" t="n">
        <v>52.4458238303989</v>
      </c>
      <c r="Q234" s="7" t="n">
        <v>122.015717352295</v>
      </c>
      <c r="R234" s="7" t="n">
        <v>13.6904932412701</v>
      </c>
      <c r="S234" s="7" t="n">
        <v>1.53909590874104</v>
      </c>
      <c r="T234" s="7" t="n">
        <v>0</v>
      </c>
      <c r="U234" s="7" t="n">
        <v>0.0151948375331288</v>
      </c>
      <c r="V234" s="7" t="n">
        <v>0.56708572764867</v>
      </c>
      <c r="W234" s="7" t="n">
        <v>0.413455834854837</v>
      </c>
      <c r="X234" s="7" t="n">
        <v>2.45759337561878</v>
      </c>
      <c r="Y234" s="7" t="n">
        <v>0.857448084656412</v>
      </c>
      <c r="Z234" s="7" t="n">
        <v>0.208760821922595</v>
      </c>
      <c r="AA234" s="7" t="n">
        <v>0.70339168615456</v>
      </c>
      <c r="AB234" s="7" t="n">
        <v>1.15859650476786</v>
      </c>
    </row>
    <row r="235" customFormat="false" ht="15" hidden="false" customHeight="false" outlineLevel="0" collapsed="false">
      <c r="A235" s="4" t="s">
        <v>250</v>
      </c>
      <c r="B235" s="4" t="s">
        <v>251</v>
      </c>
      <c r="C235" s="4" t="s">
        <v>99</v>
      </c>
      <c r="D235" s="4" t="s">
        <v>77</v>
      </c>
      <c r="E235" s="4" t="s">
        <v>93</v>
      </c>
      <c r="F235" s="7" t="n">
        <v>6.47415127232088</v>
      </c>
      <c r="G235" s="7" t="n">
        <v>24.7728560074803</v>
      </c>
      <c r="H235" s="7" t="n">
        <v>10.2179345885219</v>
      </c>
      <c r="I235" s="7" t="n">
        <v>16.0358959199885</v>
      </c>
      <c r="J235" s="7" t="n">
        <v>18.000771162175</v>
      </c>
      <c r="K235" s="7" t="n">
        <v>11.7429082153839</v>
      </c>
      <c r="L235" s="7" t="n">
        <v>13.8746820742404</v>
      </c>
      <c r="M235" s="7" t="n">
        <v>18.9638602787023</v>
      </c>
      <c r="N235" s="7" t="n">
        <v>15.7275604909477</v>
      </c>
      <c r="O235" s="7" t="n">
        <v>0</v>
      </c>
      <c r="P235" s="7" t="n">
        <v>0</v>
      </c>
      <c r="Q235" s="7" t="n">
        <v>0</v>
      </c>
      <c r="R235" s="7" t="n">
        <v>2.67057865757847</v>
      </c>
      <c r="S235" s="7" t="n">
        <v>0.816337281588257</v>
      </c>
      <c r="T235" s="7" t="n">
        <v>0</v>
      </c>
      <c r="U235" s="7" t="n">
        <v>0.322013124531091</v>
      </c>
      <c r="V235" s="7" t="n">
        <v>1.93201974408111</v>
      </c>
      <c r="W235" s="7" t="n">
        <v>6.06918924281292</v>
      </c>
      <c r="X235" s="7" t="n">
        <v>3.89491197523196</v>
      </c>
      <c r="Y235" s="7" t="n">
        <v>0.782666214304469</v>
      </c>
      <c r="Z235" s="7" t="n">
        <v>0.261964146621059</v>
      </c>
      <c r="AA235" s="7" t="n">
        <v>0.558006174423818</v>
      </c>
      <c r="AB235" s="7" t="n">
        <v>2.87072954475749</v>
      </c>
    </row>
    <row r="236" customFormat="false" ht="15" hidden="false" customHeight="false" outlineLevel="0" collapsed="false">
      <c r="A236" s="4" t="s">
        <v>252</v>
      </c>
      <c r="B236" s="4" t="s">
        <v>253</v>
      </c>
      <c r="C236" s="4" t="s">
        <v>99</v>
      </c>
      <c r="D236" s="4" t="s">
        <v>77</v>
      </c>
      <c r="E236" s="4" t="s">
        <v>91</v>
      </c>
      <c r="F236" s="7" t="n">
        <v>9.60498719052894</v>
      </c>
      <c r="G236" s="7" t="n">
        <v>3.25174835123112</v>
      </c>
      <c r="H236" s="7" t="n">
        <v>6.84591353340699</v>
      </c>
      <c r="I236" s="7" t="n">
        <v>1.68842547027571</v>
      </c>
      <c r="J236" s="7" t="n">
        <v>1.19404248389151</v>
      </c>
      <c r="K236" s="7" t="n">
        <v>2.23805821533203</v>
      </c>
      <c r="L236" s="7" t="n">
        <v>2.88515513305664</v>
      </c>
      <c r="M236" s="7" t="n">
        <v>15.7623698647995</v>
      </c>
      <c r="N236" s="7" t="n">
        <v>6.87535199164007</v>
      </c>
      <c r="O236" s="7" t="n">
        <v>7.30005316883326</v>
      </c>
      <c r="P236" s="7" t="n">
        <v>2.66668052130102</v>
      </c>
      <c r="Q236" s="7" t="n">
        <v>6.17815374871709</v>
      </c>
      <c r="R236" s="7" t="n">
        <v>2.53892376856002</v>
      </c>
      <c r="S236" s="7" t="n">
        <v>1.2109915040749</v>
      </c>
      <c r="T236" s="7" t="n">
        <v>0</v>
      </c>
      <c r="U236" s="7" t="n">
        <v>0.223021099022367</v>
      </c>
      <c r="V236" s="7" t="n">
        <v>0.324934428573264</v>
      </c>
      <c r="W236" s="7" t="n">
        <v>0</v>
      </c>
      <c r="X236" s="7" t="n">
        <v>0.062097314453125</v>
      </c>
      <c r="Y236" s="7" t="n">
        <v>0</v>
      </c>
      <c r="Z236" s="7" t="n">
        <v>0</v>
      </c>
      <c r="AA236" s="7" t="n">
        <v>0</v>
      </c>
      <c r="AB236" s="7" t="n">
        <v>0</v>
      </c>
    </row>
    <row r="237" customFormat="false" ht="15" hidden="false" customHeight="false" outlineLevel="0" collapsed="false">
      <c r="A237" s="4" t="s">
        <v>252</v>
      </c>
      <c r="B237" s="4" t="s">
        <v>253</v>
      </c>
      <c r="C237" s="4" t="s">
        <v>99</v>
      </c>
      <c r="D237" s="4" t="s">
        <v>77</v>
      </c>
      <c r="E237" s="4" t="s">
        <v>92</v>
      </c>
      <c r="F237" s="7" t="n">
        <v>1.53440225082086</v>
      </c>
      <c r="G237" s="7" t="n">
        <v>0.931107845156174</v>
      </c>
      <c r="H237" s="7" t="n">
        <v>0.462496966529496</v>
      </c>
      <c r="I237" s="7" t="n">
        <v>0.0628205364607717</v>
      </c>
      <c r="J237" s="7" t="n">
        <v>1.92298963981602</v>
      </c>
      <c r="K237" s="7" t="n">
        <v>2.9071552782854</v>
      </c>
      <c r="L237" s="7" t="n">
        <v>3.90253069906658</v>
      </c>
      <c r="M237" s="7" t="n">
        <v>0.148904212446359</v>
      </c>
      <c r="N237" s="7" t="n">
        <v>0.00287728015516082</v>
      </c>
      <c r="O237" s="7" t="n">
        <v>0.00721918570648137</v>
      </c>
      <c r="P237" s="7" t="n">
        <v>0.0010186304354046</v>
      </c>
      <c r="Q237" s="7" t="n">
        <v>0.0100450761808104</v>
      </c>
      <c r="R237" s="7" t="n">
        <v>0.00137332035415218</v>
      </c>
      <c r="S237" s="7" t="n">
        <v>0.0620714149061558</v>
      </c>
      <c r="T237" s="7" t="n">
        <v>0</v>
      </c>
      <c r="U237" s="7" t="n">
        <v>0.00559670209074487</v>
      </c>
      <c r="V237" s="7" t="n">
        <v>0.0154612302909058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0.0115286370008938</v>
      </c>
    </row>
    <row r="238" customFormat="false" ht="15" hidden="false" customHeight="false" outlineLevel="0" collapsed="false">
      <c r="A238" s="4" t="s">
        <v>252</v>
      </c>
      <c r="B238" s="4" t="s">
        <v>253</v>
      </c>
      <c r="C238" s="4" t="s">
        <v>99</v>
      </c>
      <c r="D238" s="4" t="s">
        <v>77</v>
      </c>
      <c r="E238" s="4" t="s">
        <v>93</v>
      </c>
      <c r="F238" s="7" t="n">
        <v>0.015808428523246</v>
      </c>
      <c r="G238" s="7" t="n">
        <v>0.0227346422357549</v>
      </c>
      <c r="H238" s="7" t="n">
        <v>0.0127735271631292</v>
      </c>
      <c r="I238" s="7" t="n">
        <v>0.0637709915545329</v>
      </c>
      <c r="J238" s="7" t="n">
        <v>0.0449390711214788</v>
      </c>
      <c r="K238" s="7" t="n">
        <v>0.0754441357771029</v>
      </c>
      <c r="L238" s="7" t="n">
        <v>0.123169355865059</v>
      </c>
      <c r="M238" s="7" t="n">
        <v>0.0124119701174294</v>
      </c>
      <c r="N238" s="7" t="n">
        <v>0.00569140081218552</v>
      </c>
      <c r="O238" s="7" t="n">
        <v>0.0113340200437867</v>
      </c>
      <c r="P238" s="7" t="n">
        <v>0.0015026243866185</v>
      </c>
      <c r="Q238" s="7" t="n">
        <v>0.00499291094193978</v>
      </c>
      <c r="R238" s="7" t="n">
        <v>0.0019161999472737</v>
      </c>
      <c r="S238" s="7" t="n">
        <v>0.0966932455697264</v>
      </c>
      <c r="T238" s="7" t="n">
        <v>0</v>
      </c>
      <c r="U238" s="7" t="n">
        <v>0.0172516446876698</v>
      </c>
      <c r="V238" s="7" t="n">
        <v>0.0284072952373931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0.0540550715097943</v>
      </c>
    </row>
    <row r="239" customFormat="false" ht="15" hidden="false" customHeight="false" outlineLevel="0" collapsed="false">
      <c r="A239" s="4" t="s">
        <v>254</v>
      </c>
      <c r="B239" s="4" t="s">
        <v>255</v>
      </c>
      <c r="C239" s="4" t="s">
        <v>99</v>
      </c>
      <c r="D239" s="4" t="s">
        <v>77</v>
      </c>
      <c r="E239" s="4" t="s">
        <v>91</v>
      </c>
      <c r="F239" s="7" t="n">
        <v>47.9321096252442</v>
      </c>
      <c r="G239" s="7" t="n">
        <v>33.719446496582</v>
      </c>
      <c r="H239" s="7" t="n">
        <v>9.4583555847168</v>
      </c>
      <c r="I239" s="7" t="n">
        <v>12.4922771642941</v>
      </c>
      <c r="J239" s="7" t="n">
        <v>10.5524172790527</v>
      </c>
      <c r="K239" s="7" t="n">
        <v>13.2372133836493</v>
      </c>
      <c r="L239" s="7" t="n">
        <v>12.9179210266113</v>
      </c>
      <c r="M239" s="7" t="n">
        <v>20.5566504700663</v>
      </c>
      <c r="N239" s="7" t="n">
        <v>38.0035053324972</v>
      </c>
      <c r="O239" s="7" t="n">
        <v>21.6592154638975</v>
      </c>
      <c r="P239" s="7" t="n">
        <v>21.5212990838929</v>
      </c>
      <c r="Q239" s="7" t="n">
        <v>18.2770015528221</v>
      </c>
      <c r="R239" s="7" t="n">
        <v>5.76746611839564</v>
      </c>
      <c r="S239" s="7" t="n">
        <v>9.55548710834554</v>
      </c>
      <c r="T239" s="7" t="n">
        <v>11.1414380211879</v>
      </c>
      <c r="U239" s="7" t="n">
        <v>13.2047912658691</v>
      </c>
      <c r="V239" s="7" t="n">
        <v>17.1375663330078</v>
      </c>
      <c r="W239" s="7" t="n">
        <v>9.65661327500287</v>
      </c>
      <c r="X239" s="7" t="n">
        <v>9.35926801147461</v>
      </c>
      <c r="Y239" s="7" t="n">
        <v>1.67515493729085</v>
      </c>
      <c r="Z239" s="7" t="n">
        <v>0.711146370480897</v>
      </c>
      <c r="AA239" s="7" t="n">
        <v>0.705099346172685</v>
      </c>
      <c r="AB239" s="7" t="n">
        <v>5.14929632794072</v>
      </c>
    </row>
    <row r="240" customFormat="false" ht="15" hidden="false" customHeight="false" outlineLevel="0" collapsed="false">
      <c r="A240" s="4" t="s">
        <v>254</v>
      </c>
      <c r="B240" s="4" t="s">
        <v>255</v>
      </c>
      <c r="C240" s="4" t="s">
        <v>99</v>
      </c>
      <c r="D240" s="4" t="s">
        <v>77</v>
      </c>
      <c r="E240" s="4" t="s">
        <v>92</v>
      </c>
      <c r="F240" s="7" t="n">
        <v>9.83604140014649</v>
      </c>
      <c r="G240" s="7" t="n">
        <v>6.5652796472168</v>
      </c>
      <c r="H240" s="7" t="n">
        <v>3.1235141418457</v>
      </c>
      <c r="I240" s="7" t="n">
        <v>4.74316063066133</v>
      </c>
      <c r="J240" s="7" t="n">
        <v>4.36822440185547</v>
      </c>
      <c r="K240" s="7" t="n">
        <v>0.844593934729229</v>
      </c>
      <c r="L240" s="7" t="n">
        <v>0</v>
      </c>
      <c r="M240" s="7" t="n">
        <v>2.56417893667198</v>
      </c>
      <c r="N240" s="7" t="n">
        <v>0.568395334820513</v>
      </c>
      <c r="O240" s="7" t="n">
        <v>2.24400036251848</v>
      </c>
      <c r="P240" s="7" t="n">
        <v>0.0905000066833236</v>
      </c>
      <c r="Q240" s="7" t="n">
        <v>0.495783703046821</v>
      </c>
      <c r="R240" s="7" t="n">
        <v>1.80370556129186</v>
      </c>
      <c r="S240" s="7" t="n">
        <v>0.689523188285315</v>
      </c>
      <c r="T240" s="7" t="n">
        <v>0.154832511038616</v>
      </c>
      <c r="U240" s="7" t="n">
        <v>0</v>
      </c>
      <c r="V240" s="7" t="n">
        <v>2.14345586547852</v>
      </c>
      <c r="W240" s="7" t="n">
        <v>1.3019610534668</v>
      </c>
      <c r="X240" s="7" t="n">
        <v>1.36458220825195</v>
      </c>
      <c r="Y240" s="7" t="n">
        <v>0.273587225795089</v>
      </c>
      <c r="Z240" s="7" t="n">
        <v>0.259906571413635</v>
      </c>
      <c r="AA240" s="7" t="n">
        <v>0.074596692645674</v>
      </c>
      <c r="AB240" s="7" t="n">
        <v>0.824523917420604</v>
      </c>
    </row>
    <row r="241" customFormat="false" ht="15" hidden="false" customHeight="false" outlineLevel="0" collapsed="false">
      <c r="A241" s="4" t="s">
        <v>254</v>
      </c>
      <c r="B241" s="4" t="s">
        <v>255</v>
      </c>
      <c r="C241" s="4" t="s">
        <v>99</v>
      </c>
      <c r="D241" s="4" t="s">
        <v>77</v>
      </c>
      <c r="E241" s="4" t="s">
        <v>93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</row>
    <row r="242" customFormat="false" ht="15" hidden="false" customHeight="false" outlineLevel="0" collapsed="false">
      <c r="A242" s="4" t="s">
        <v>256</v>
      </c>
      <c r="B242" s="4" t="s">
        <v>257</v>
      </c>
      <c r="C242" s="4" t="s">
        <v>104</v>
      </c>
      <c r="D242" s="4" t="s">
        <v>41</v>
      </c>
      <c r="E242" s="4" t="s">
        <v>91</v>
      </c>
      <c r="F242" s="7" t="n">
        <v>789.57355003351</v>
      </c>
      <c r="G242" s="7" t="n">
        <v>408.802921025654</v>
      </c>
      <c r="H242" s="7" t="n">
        <v>278.637476036712</v>
      </c>
      <c r="I242" s="7" t="n">
        <v>728.407488271269</v>
      </c>
      <c r="J242" s="7" t="n">
        <v>367.264217423311</v>
      </c>
      <c r="K242" s="7" t="n">
        <v>451.990149242446</v>
      </c>
      <c r="L242" s="7" t="n">
        <v>415.426458819771</v>
      </c>
      <c r="M242" s="7" t="n">
        <v>526.42471239028</v>
      </c>
      <c r="N242" s="7" t="n">
        <v>2177.53957687234</v>
      </c>
      <c r="O242" s="7" t="n">
        <v>437.705318921353</v>
      </c>
      <c r="P242" s="7" t="n">
        <v>370.215524012212</v>
      </c>
      <c r="Q242" s="7" t="n">
        <v>329.962177403852</v>
      </c>
      <c r="R242" s="7" t="n">
        <v>1300.43972471989</v>
      </c>
      <c r="S242" s="7" t="n">
        <v>1562.3335901852</v>
      </c>
      <c r="T242" s="7" t="n">
        <v>1277.72785219841</v>
      </c>
      <c r="U242" s="7" t="n">
        <v>1744.78289853286</v>
      </c>
      <c r="V242" s="7" t="n">
        <v>2687.03648847825</v>
      </c>
      <c r="W242" s="7" t="n">
        <v>1589.41277434035</v>
      </c>
      <c r="X242" s="7" t="n">
        <v>1310.28199149171</v>
      </c>
      <c r="Y242" s="7" t="n">
        <v>156.738853041136</v>
      </c>
      <c r="Z242" s="7" t="n">
        <v>160.135140313213</v>
      </c>
      <c r="AA242" s="7" t="n">
        <v>132.496332856636</v>
      </c>
      <c r="AB242" s="7" t="n">
        <v>238.89072830299</v>
      </c>
    </row>
    <row r="243" customFormat="false" ht="15" hidden="false" customHeight="false" outlineLevel="0" collapsed="false">
      <c r="A243" s="4" t="s">
        <v>256</v>
      </c>
      <c r="B243" s="4" t="s">
        <v>257</v>
      </c>
      <c r="C243" s="4" t="s">
        <v>104</v>
      </c>
      <c r="D243" s="4" t="s">
        <v>41</v>
      </c>
      <c r="E243" s="4" t="s">
        <v>92</v>
      </c>
      <c r="F243" s="7" t="n">
        <v>1447.62517852264</v>
      </c>
      <c r="G243" s="7" t="n">
        <v>1095.43710416432</v>
      </c>
      <c r="H243" s="7" t="n">
        <v>0</v>
      </c>
      <c r="I243" s="7" t="n">
        <v>1849.72893706703</v>
      </c>
      <c r="J243" s="7" t="n">
        <v>937.161025710832</v>
      </c>
      <c r="K243" s="7" t="n">
        <v>1423.06219328465</v>
      </c>
      <c r="L243" s="7" t="n">
        <v>1501.26023195959</v>
      </c>
      <c r="M243" s="7" t="n">
        <v>1643.26945319708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513.143577613481</v>
      </c>
      <c r="V243" s="7" t="n">
        <v>0</v>
      </c>
      <c r="W243" s="7" t="n">
        <v>0</v>
      </c>
      <c r="X243" s="7" t="n">
        <v>0</v>
      </c>
      <c r="Y243" s="7" t="n">
        <v>726.203338214525</v>
      </c>
      <c r="Z243" s="7" t="n">
        <v>727.138759425685</v>
      </c>
      <c r="AA243" s="7" t="n">
        <v>768.781769856197</v>
      </c>
      <c r="AB243" s="7" t="n">
        <v>1129.18160522943</v>
      </c>
    </row>
    <row r="244" customFormat="false" ht="15" hidden="false" customHeight="false" outlineLevel="0" collapsed="false">
      <c r="A244" s="4" t="s">
        <v>256</v>
      </c>
      <c r="B244" s="4" t="s">
        <v>257</v>
      </c>
      <c r="C244" s="4" t="s">
        <v>104</v>
      </c>
      <c r="D244" s="4" t="s">
        <v>41</v>
      </c>
      <c r="E244" s="4" t="s">
        <v>93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66</v>
      </c>
      <c r="N244" s="7" t="n">
        <v>224</v>
      </c>
      <c r="O244" s="7" t="n">
        <v>382</v>
      </c>
      <c r="P244" s="7" t="n">
        <v>382</v>
      </c>
      <c r="Q244" s="7" t="n">
        <v>382</v>
      </c>
      <c r="R244" s="7" t="n">
        <v>381.333333333333</v>
      </c>
      <c r="S244" s="7" t="n">
        <v>380.666666666667</v>
      </c>
      <c r="T244" s="7" t="n">
        <v>380</v>
      </c>
      <c r="U244" s="7" t="n">
        <v>380</v>
      </c>
      <c r="V244" s="7" t="n">
        <v>380</v>
      </c>
      <c r="W244" s="7" t="n">
        <v>380</v>
      </c>
      <c r="X244" s="7" t="n">
        <v>380</v>
      </c>
      <c r="Y244" s="7" t="n">
        <v>379.999999999995</v>
      </c>
      <c r="Z244" s="7" t="n">
        <v>379.999999999993</v>
      </c>
      <c r="AA244" s="7" t="n">
        <v>379.999999999985</v>
      </c>
      <c r="AB244" s="7" t="n">
        <v>379.999999999991</v>
      </c>
    </row>
    <row r="245" customFormat="false" ht="15" hidden="false" customHeight="false" outlineLevel="0" collapsed="false">
      <c r="A245" s="4" t="s">
        <v>258</v>
      </c>
      <c r="B245" s="4" t="s">
        <v>259</v>
      </c>
      <c r="C245" s="4" t="s">
        <v>112</v>
      </c>
      <c r="D245" s="4" t="s">
        <v>79</v>
      </c>
      <c r="E245" s="4" t="s">
        <v>91</v>
      </c>
      <c r="F245" s="7" t="n">
        <v>26.8058297241211</v>
      </c>
      <c r="G245" s="7" t="n">
        <v>48.1113811767578</v>
      </c>
      <c r="H245" s="7" t="n">
        <v>33.2745871032715</v>
      </c>
      <c r="I245" s="7" t="n">
        <v>30.4724785766601</v>
      </c>
      <c r="J245" s="7" t="n">
        <v>8.42147661132812</v>
      </c>
      <c r="K245" s="7" t="n">
        <v>35.6645133300781</v>
      </c>
      <c r="L245" s="7" t="n">
        <v>12.4476382507324</v>
      </c>
      <c r="M245" s="7" t="n">
        <v>21.7503168640137</v>
      </c>
      <c r="N245" s="7" t="n">
        <v>33.1722043273926</v>
      </c>
      <c r="O245" s="7" t="n">
        <v>16.4117716064453</v>
      </c>
      <c r="P245" s="7" t="n">
        <v>30.5446494689941</v>
      </c>
      <c r="Q245" s="7" t="n">
        <v>16.1054457092285</v>
      </c>
      <c r="R245" s="7" t="n">
        <v>28.4137284240723</v>
      </c>
      <c r="S245" s="7" t="n">
        <v>54.1516158485515</v>
      </c>
      <c r="T245" s="7" t="n">
        <v>52.4641307636235</v>
      </c>
      <c r="U245" s="7" t="n">
        <v>31.5404947457681</v>
      </c>
      <c r="V245" s="7" t="n">
        <v>82.6779985041426</v>
      </c>
      <c r="W245" s="7" t="n">
        <v>99.6144068232166</v>
      </c>
      <c r="X245" s="7" t="n">
        <v>110.784680696644</v>
      </c>
      <c r="Y245" s="7" t="n">
        <v>71.5013402200571</v>
      </c>
      <c r="Z245" s="7" t="n">
        <v>45.6340411525774</v>
      </c>
      <c r="AA245" s="7" t="n">
        <v>35.2731811083041</v>
      </c>
      <c r="AB245" s="7" t="n">
        <v>94.3210583657071</v>
      </c>
    </row>
    <row r="246" customFormat="false" ht="15" hidden="false" customHeight="false" outlineLevel="0" collapsed="false">
      <c r="A246" s="4" t="s">
        <v>258</v>
      </c>
      <c r="B246" s="4" t="s">
        <v>259</v>
      </c>
      <c r="C246" s="4" t="s">
        <v>112</v>
      </c>
      <c r="D246" s="4" t="s">
        <v>79</v>
      </c>
      <c r="E246" s="4" t="s">
        <v>92</v>
      </c>
      <c r="F246" s="7" t="n">
        <v>56.245874968198</v>
      </c>
      <c r="G246" s="7" t="n">
        <v>72.4342688830362</v>
      </c>
      <c r="H246" s="7" t="n">
        <v>61.8276465173824</v>
      </c>
      <c r="I246" s="7" t="n">
        <v>184.044586484971</v>
      </c>
      <c r="J246" s="7" t="n">
        <v>290.563685991465</v>
      </c>
      <c r="K246" s="7" t="n">
        <v>96.1258094015952</v>
      </c>
      <c r="L246" s="7" t="n">
        <v>48.6459441146274</v>
      </c>
      <c r="M246" s="7" t="n">
        <v>114.873520519571</v>
      </c>
      <c r="N246" s="7" t="n">
        <v>118.170528016269</v>
      </c>
      <c r="O246" s="7" t="n">
        <v>72.72461488143</v>
      </c>
      <c r="P246" s="7" t="n">
        <v>119.343121332524</v>
      </c>
      <c r="Q246" s="7" t="n">
        <v>168.443539678487</v>
      </c>
      <c r="R246" s="7" t="n">
        <v>70.5207795333847</v>
      </c>
      <c r="S246" s="7" t="n">
        <v>86.6848699188984</v>
      </c>
      <c r="T246" s="7" t="n">
        <v>23.7180953914968</v>
      </c>
      <c r="U246" s="7" t="n">
        <v>44.7385923693609</v>
      </c>
      <c r="V246" s="7" t="n">
        <v>60.7280550430258</v>
      </c>
      <c r="W246" s="7" t="n">
        <v>80.2422693111707</v>
      </c>
      <c r="X246" s="7" t="n">
        <v>54.2465728874563</v>
      </c>
      <c r="Y246" s="7" t="n">
        <v>39.2501419301857</v>
      </c>
      <c r="Z246" s="7" t="n">
        <v>20.6367130452233</v>
      </c>
      <c r="AA246" s="7" t="n">
        <v>21.1394267608202</v>
      </c>
      <c r="AB246" s="7" t="n">
        <v>50.344910374113</v>
      </c>
    </row>
    <row r="247" customFormat="false" ht="15" hidden="false" customHeight="false" outlineLevel="0" collapsed="false">
      <c r="A247" s="4" t="s">
        <v>258</v>
      </c>
      <c r="B247" s="4" t="s">
        <v>259</v>
      </c>
      <c r="C247" s="4" t="s">
        <v>112</v>
      </c>
      <c r="D247" s="4" t="s">
        <v>79</v>
      </c>
      <c r="E247" s="4" t="s">
        <v>93</v>
      </c>
      <c r="F247" s="7" t="n">
        <v>0.0479832718831905</v>
      </c>
      <c r="G247" s="7" t="n">
        <v>0.0840252443525925</v>
      </c>
      <c r="H247" s="7" t="n">
        <v>0.123161417187894</v>
      </c>
      <c r="I247" s="7" t="n">
        <v>0.371869899856601</v>
      </c>
      <c r="J247" s="7" t="n">
        <v>4.39311124723338</v>
      </c>
      <c r="K247" s="7" t="n">
        <v>0.0927453230285893</v>
      </c>
      <c r="L247" s="7" t="n">
        <v>1.99680986486479</v>
      </c>
      <c r="M247" s="7" t="n">
        <v>0.0815700875968036</v>
      </c>
      <c r="N247" s="7" t="n">
        <v>0.447866234219111</v>
      </c>
      <c r="O247" s="7" t="n">
        <v>0.760677986647841</v>
      </c>
      <c r="P247" s="7" t="n">
        <v>0.664634415336714</v>
      </c>
      <c r="Q247" s="7" t="n">
        <v>1.10374441319042</v>
      </c>
      <c r="R247" s="7" t="n">
        <v>0.23561813507234</v>
      </c>
      <c r="S247" s="7" t="n">
        <v>0.380232012091144</v>
      </c>
      <c r="T247" s="7" t="n">
        <v>0.117222611969584</v>
      </c>
      <c r="U247" s="7" t="n">
        <v>0.501839372140177</v>
      </c>
      <c r="V247" s="7" t="n">
        <v>0.320150084423435</v>
      </c>
      <c r="W247" s="7" t="n">
        <v>4.93714398631942</v>
      </c>
      <c r="X247" s="7" t="n">
        <v>0.123954277228223</v>
      </c>
      <c r="Y247" s="7" t="n">
        <v>0.338606943492834</v>
      </c>
      <c r="Z247" s="7" t="n">
        <v>0.105499946486458</v>
      </c>
      <c r="AA247" s="7" t="n">
        <v>0.322085783004055</v>
      </c>
      <c r="AB247" s="7" t="n">
        <v>0.0877461847116717</v>
      </c>
    </row>
    <row r="248" customFormat="false" ht="15" hidden="false" customHeight="false" outlineLevel="0" collapsed="false">
      <c r="A248" s="4" t="s">
        <v>260</v>
      </c>
      <c r="B248" s="4" t="s">
        <v>261</v>
      </c>
      <c r="C248" s="4" t="s">
        <v>99</v>
      </c>
      <c r="D248" s="4" t="s">
        <v>77</v>
      </c>
      <c r="E248" s="4" t="s">
        <v>91</v>
      </c>
      <c r="F248" s="7" t="n">
        <v>0.517516270173282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0.0654322875976562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0.130553460693359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0.0644623760936371</v>
      </c>
      <c r="W248" s="7" t="n">
        <v>0</v>
      </c>
      <c r="X248" s="7" t="n">
        <v>0.228657919856698</v>
      </c>
      <c r="Y248" s="7" t="n">
        <v>0.0769869022219463</v>
      </c>
      <c r="Z248" s="7" t="n">
        <v>0</v>
      </c>
      <c r="AA248" s="7" t="n">
        <v>0</v>
      </c>
      <c r="AB248" s="7" t="n">
        <v>0</v>
      </c>
    </row>
    <row r="249" customFormat="false" ht="15" hidden="false" customHeight="false" outlineLevel="0" collapsed="false">
      <c r="A249" s="4" t="s">
        <v>260</v>
      </c>
      <c r="B249" s="4" t="s">
        <v>261</v>
      </c>
      <c r="C249" s="4" t="s">
        <v>99</v>
      </c>
      <c r="D249" s="4" t="s">
        <v>77</v>
      </c>
      <c r="E249" s="4" t="s">
        <v>92</v>
      </c>
      <c r="F249" s="7" t="n">
        <v>0.0045124834888268</v>
      </c>
      <c r="G249" s="7" t="n">
        <v>0.202232199707031</v>
      </c>
      <c r="H249" s="7" t="n">
        <v>0</v>
      </c>
      <c r="I249" s="7" t="n">
        <v>0.195846350097656</v>
      </c>
      <c r="J249" s="7" t="n">
        <v>0.0654041870117188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0.391185125732422</v>
      </c>
      <c r="T249" s="7" t="n">
        <v>0.391606506347656</v>
      </c>
      <c r="U249" s="7" t="n">
        <v>0</v>
      </c>
      <c r="V249" s="7" t="n">
        <v>0.000729713750112926</v>
      </c>
      <c r="W249" s="7" t="n">
        <v>0</v>
      </c>
      <c r="X249" s="7" t="n">
        <v>0.0323133081706455</v>
      </c>
      <c r="Y249" s="7" t="n">
        <v>0.0535010128171162</v>
      </c>
      <c r="Z249" s="7" t="n">
        <v>0</v>
      </c>
      <c r="AA249" s="7" t="n">
        <v>0</v>
      </c>
      <c r="AB249" s="7" t="n">
        <v>0</v>
      </c>
    </row>
    <row r="250" customFormat="false" ht="15" hidden="false" customHeight="false" outlineLevel="0" collapsed="false">
      <c r="A250" s="4" t="s">
        <v>260</v>
      </c>
      <c r="B250" s="4" t="s">
        <v>261</v>
      </c>
      <c r="C250" s="4" t="s">
        <v>99</v>
      </c>
      <c r="D250" s="4" t="s">
        <v>77</v>
      </c>
      <c r="E250" s="4" t="s">
        <v>93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 customFormat="false" ht="15" hidden="false" customHeight="false" outlineLevel="0" collapsed="false">
      <c r="A251" s="4" t="s">
        <v>37</v>
      </c>
      <c r="B251" s="4" t="s">
        <v>38</v>
      </c>
      <c r="C251" s="4" t="s">
        <v>99</v>
      </c>
      <c r="D251" s="4" t="s">
        <v>37</v>
      </c>
      <c r="E251" s="4" t="s">
        <v>91</v>
      </c>
      <c r="F251" s="7" t="n">
        <v>580.194656524394</v>
      </c>
      <c r="G251" s="7" t="n">
        <v>416.913631183436</v>
      </c>
      <c r="H251" s="7" t="n">
        <v>928.812130970627</v>
      </c>
      <c r="I251" s="7" t="n">
        <v>2031.19837733369</v>
      </c>
      <c r="J251" s="7" t="n">
        <v>1693.66629329002</v>
      </c>
      <c r="K251" s="7" t="n">
        <v>1551.72596720434</v>
      </c>
      <c r="L251" s="7" t="n">
        <v>1651.06909253109</v>
      </c>
      <c r="M251" s="7" t="n">
        <v>1706.31197946907</v>
      </c>
      <c r="N251" s="7" t="n">
        <v>1595.71570168477</v>
      </c>
      <c r="O251" s="7" t="n">
        <v>1487.31210499101</v>
      </c>
      <c r="P251" s="7" t="n">
        <v>1558.59035554469</v>
      </c>
      <c r="Q251" s="7" t="n">
        <v>2431.1124945244</v>
      </c>
      <c r="R251" s="7" t="n">
        <v>745.861580616106</v>
      </c>
      <c r="S251" s="7" t="n">
        <v>1146.5457334718</v>
      </c>
      <c r="T251" s="7" t="n">
        <v>231.462109256185</v>
      </c>
      <c r="U251" s="7" t="n">
        <v>763.614500875723</v>
      </c>
      <c r="V251" s="7" t="n">
        <v>1592.46289866132</v>
      </c>
      <c r="W251" s="7" t="n">
        <v>1026.47232745407</v>
      </c>
      <c r="X251" s="7" t="n">
        <v>359.858005196773</v>
      </c>
      <c r="Y251" s="7" t="n">
        <v>0</v>
      </c>
      <c r="Z251" s="7" t="n">
        <v>214.141701081681</v>
      </c>
      <c r="AA251" s="7" t="n">
        <v>272.682441429629</v>
      </c>
      <c r="AB251" s="7" t="n">
        <v>195.980304977723</v>
      </c>
    </row>
    <row r="252" customFormat="false" ht="15" hidden="false" customHeight="false" outlineLevel="0" collapsed="false">
      <c r="A252" s="4" t="s">
        <v>37</v>
      </c>
      <c r="B252" s="4" t="s">
        <v>38</v>
      </c>
      <c r="C252" s="4" t="s">
        <v>99</v>
      </c>
      <c r="D252" s="4" t="s">
        <v>37</v>
      </c>
      <c r="E252" s="4" t="s">
        <v>92</v>
      </c>
      <c r="F252" s="7" t="n">
        <v>0</v>
      </c>
      <c r="G252" s="7" t="n">
        <v>0</v>
      </c>
      <c r="H252" s="7" t="n">
        <v>0</v>
      </c>
      <c r="I252" s="7" t="n">
        <v>1.6894597344167</v>
      </c>
      <c r="J252" s="7" t="n">
        <v>55.9633434030215</v>
      </c>
      <c r="K252" s="7" t="n">
        <v>58.5644187004162</v>
      </c>
      <c r="L252" s="7" t="n">
        <v>80.4515538846621</v>
      </c>
      <c r="M252" s="7" t="n">
        <v>104.989570482817</v>
      </c>
      <c r="N252" s="7" t="n">
        <v>120.460540159493</v>
      </c>
      <c r="O252" s="7" t="n">
        <v>133.90795562595</v>
      </c>
      <c r="P252" s="7" t="n">
        <v>130.354950567108</v>
      </c>
      <c r="Q252" s="7" t="n">
        <v>238.762518458617</v>
      </c>
      <c r="R252" s="7" t="n">
        <v>59.178337050101</v>
      </c>
      <c r="S252" s="7" t="n">
        <v>12.6715685294165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527.117484854402</v>
      </c>
      <c r="Z252" s="7" t="n">
        <v>267.254871749322</v>
      </c>
      <c r="AA252" s="7" t="n">
        <v>255.370405064655</v>
      </c>
      <c r="AB252" s="7" t="n">
        <v>276.54030004042</v>
      </c>
    </row>
    <row r="253" customFormat="false" ht="15" hidden="false" customHeight="false" outlineLevel="0" collapsed="false">
      <c r="A253" s="4" t="s">
        <v>37</v>
      </c>
      <c r="B253" s="4" t="s">
        <v>38</v>
      </c>
      <c r="C253" s="4" t="s">
        <v>99</v>
      </c>
      <c r="D253" s="4" t="s">
        <v>37</v>
      </c>
      <c r="E253" s="4" t="s">
        <v>93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 customFormat="false" ht="15" hidden="false" customHeight="false" outlineLevel="0" collapsed="false">
      <c r="A254" s="4" t="s">
        <v>262</v>
      </c>
      <c r="B254" s="4" t="s">
        <v>263</v>
      </c>
      <c r="C254" s="4" t="s">
        <v>158</v>
      </c>
      <c r="D254" s="4" t="s">
        <v>43</v>
      </c>
      <c r="E254" s="4" t="s">
        <v>91</v>
      </c>
      <c r="F254" s="7" t="n">
        <v>353.457835703173</v>
      </c>
      <c r="G254" s="7" t="n">
        <v>711.172351806808</v>
      </c>
      <c r="H254" s="7" t="n">
        <v>341.013200742654</v>
      </c>
      <c r="I254" s="7" t="n">
        <v>474.356610252889</v>
      </c>
      <c r="J254" s="7" t="n">
        <v>343.925987187644</v>
      </c>
      <c r="K254" s="7" t="n">
        <v>415.98584385084</v>
      </c>
      <c r="L254" s="7" t="n">
        <v>30.565830427294</v>
      </c>
      <c r="M254" s="7" t="n">
        <v>30.0391639862061</v>
      </c>
      <c r="N254" s="7" t="n">
        <v>30.7100316650391</v>
      </c>
      <c r="O254" s="7" t="n">
        <v>462.2043209302</v>
      </c>
      <c r="P254" s="7" t="n">
        <v>715.393081564391</v>
      </c>
      <c r="Q254" s="7" t="n">
        <v>639.192617941775</v>
      </c>
      <c r="R254" s="7" t="n">
        <v>357.208824643124</v>
      </c>
      <c r="S254" s="7" t="n">
        <v>79.9221934393071</v>
      </c>
      <c r="T254" s="7" t="n">
        <v>12.194981054048</v>
      </c>
      <c r="U254" s="7" t="n">
        <v>7.60690881958008</v>
      </c>
      <c r="V254" s="7" t="n">
        <v>2.63037904663086</v>
      </c>
      <c r="W254" s="7" t="n">
        <v>0.23580686340332</v>
      </c>
      <c r="X254" s="7" t="n">
        <v>15.4028798761733</v>
      </c>
      <c r="Y254" s="7" t="n">
        <v>17.4125183963293</v>
      </c>
      <c r="Z254" s="7" t="n">
        <v>5.59517651398329</v>
      </c>
      <c r="AA254" s="7" t="n">
        <v>11.9587444048615</v>
      </c>
      <c r="AB254" s="7" t="n">
        <v>37.0856011901008</v>
      </c>
    </row>
    <row r="255" customFormat="false" ht="15" hidden="false" customHeight="false" outlineLevel="0" collapsed="false">
      <c r="A255" s="4" t="s">
        <v>262</v>
      </c>
      <c r="B255" s="4" t="s">
        <v>263</v>
      </c>
      <c r="C255" s="4" t="s">
        <v>158</v>
      </c>
      <c r="D255" s="4" t="s">
        <v>43</v>
      </c>
      <c r="E255" s="4" t="s">
        <v>92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398.495663060482</v>
      </c>
      <c r="M255" s="7" t="n">
        <v>380.025282600816</v>
      </c>
      <c r="N255" s="7" t="n">
        <v>700.587422142334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8.66910978152329</v>
      </c>
      <c r="U255" s="7" t="n">
        <v>0</v>
      </c>
      <c r="V255" s="7" t="n">
        <v>54.0916504699707</v>
      </c>
      <c r="W255" s="7" t="n">
        <v>63.1525725328034</v>
      </c>
      <c r="X255" s="7" t="n">
        <v>36.7892729955308</v>
      </c>
      <c r="Y255" s="7" t="n">
        <v>35.7961993248334</v>
      </c>
      <c r="Z255" s="7" t="n">
        <v>22.5390674557433</v>
      </c>
      <c r="AA255" s="7" t="n">
        <v>42.478941828659</v>
      </c>
      <c r="AB255" s="7" t="n">
        <v>103.954424231042</v>
      </c>
    </row>
    <row r="256" customFormat="false" ht="15" hidden="false" customHeight="false" outlineLevel="0" collapsed="false">
      <c r="A256" s="4" t="s">
        <v>262</v>
      </c>
      <c r="B256" s="4" t="s">
        <v>263</v>
      </c>
      <c r="C256" s="4" t="s">
        <v>158</v>
      </c>
      <c r="D256" s="4" t="s">
        <v>43</v>
      </c>
      <c r="E256" s="4" t="s">
        <v>93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</row>
    <row r="257" customFormat="false" ht="15" hidden="false" customHeight="false" outlineLevel="0" collapsed="false">
      <c r="A257" s="4" t="s">
        <v>264</v>
      </c>
      <c r="B257" s="4" t="s">
        <v>265</v>
      </c>
      <c r="C257" s="4" t="s">
        <v>101</v>
      </c>
      <c r="D257" s="4" t="s">
        <v>61</v>
      </c>
      <c r="E257" s="4" t="s">
        <v>91</v>
      </c>
      <c r="F257" s="7" t="n">
        <v>13207.992789363</v>
      </c>
      <c r="G257" s="7" t="n">
        <v>15511.5363286114</v>
      </c>
      <c r="H257" s="7" t="n">
        <v>10680.9973142572</v>
      </c>
      <c r="I257" s="7" t="n">
        <v>12530.7705655942</v>
      </c>
      <c r="J257" s="7" t="n">
        <v>10052.7859860871</v>
      </c>
      <c r="K257" s="7" t="n">
        <v>16057.6398103329</v>
      </c>
      <c r="L257" s="7" t="n">
        <v>20453.5887738932</v>
      </c>
      <c r="M257" s="7" t="n">
        <v>16829.8267920223</v>
      </c>
      <c r="N257" s="7" t="n">
        <v>16632.9072180872</v>
      </c>
      <c r="O257" s="7" t="n">
        <v>20259.2240999638</v>
      </c>
      <c r="P257" s="7" t="n">
        <v>15135.7018418035</v>
      </c>
      <c r="Q257" s="7" t="n">
        <v>10781.4689002226</v>
      </c>
      <c r="R257" s="7" t="n">
        <v>9354.39123154453</v>
      </c>
      <c r="S257" s="7" t="n">
        <v>4285.6271024623</v>
      </c>
      <c r="T257" s="7" t="n">
        <v>10308.1729599889</v>
      </c>
      <c r="U257" s="7" t="n">
        <v>12157.6187355842</v>
      </c>
      <c r="V257" s="7" t="n">
        <v>13375.3791153302</v>
      </c>
      <c r="W257" s="7" t="n">
        <v>6647.37494279098</v>
      </c>
      <c r="X257" s="7" t="n">
        <v>6408.5867525364</v>
      </c>
      <c r="Y257" s="7" t="n">
        <v>9021.67821485238</v>
      </c>
      <c r="Z257" s="7" t="n">
        <v>5276.50089173254</v>
      </c>
      <c r="AA257" s="7" t="n">
        <v>3927.42276292084</v>
      </c>
      <c r="AB257" s="7" t="n">
        <v>6144.64182017058</v>
      </c>
    </row>
    <row r="258" customFormat="false" ht="15" hidden="false" customHeight="false" outlineLevel="0" collapsed="false">
      <c r="A258" s="4" t="s">
        <v>264</v>
      </c>
      <c r="B258" s="4" t="s">
        <v>265</v>
      </c>
      <c r="C258" s="4" t="s">
        <v>101</v>
      </c>
      <c r="D258" s="4" t="s">
        <v>61</v>
      </c>
      <c r="E258" s="4" t="s">
        <v>92</v>
      </c>
      <c r="F258" s="7" t="n">
        <v>3402.92183789101</v>
      </c>
      <c r="G258" s="7" t="n">
        <v>1481.64799273279</v>
      </c>
      <c r="H258" s="7" t="n">
        <v>1030.18872721062</v>
      </c>
      <c r="I258" s="7" t="n">
        <v>3279.33122062099</v>
      </c>
      <c r="J258" s="7" t="n">
        <v>2177.69906594484</v>
      </c>
      <c r="K258" s="7" t="n">
        <v>2271.6389363115</v>
      </c>
      <c r="L258" s="7" t="n">
        <v>2083.32059093763</v>
      </c>
      <c r="M258" s="7" t="n">
        <v>564.561977934548</v>
      </c>
      <c r="N258" s="7" t="n">
        <v>301.908626058459</v>
      </c>
      <c r="O258" s="7" t="n">
        <v>313.41759340258</v>
      </c>
      <c r="P258" s="7" t="n">
        <v>420.300527553877</v>
      </c>
      <c r="Q258" s="7" t="n">
        <v>3871.60779212884</v>
      </c>
      <c r="R258" s="7" t="n">
        <v>1471.2615327132</v>
      </c>
      <c r="S258" s="7" t="n">
        <v>7945.3595536763</v>
      </c>
      <c r="T258" s="7" t="n">
        <v>726.882930221855</v>
      </c>
      <c r="U258" s="7" t="n">
        <v>2151.55211600731</v>
      </c>
      <c r="V258" s="7" t="n">
        <v>3146.87512038641</v>
      </c>
      <c r="W258" s="7" t="n">
        <v>5775.45190853768</v>
      </c>
      <c r="X258" s="7" t="n">
        <v>6163.45297267029</v>
      </c>
      <c r="Y258" s="7" t="n">
        <v>5005.98035399046</v>
      </c>
      <c r="Z258" s="7" t="n">
        <v>2105.61481842462</v>
      </c>
      <c r="AA258" s="7" t="n">
        <v>1534.51366332749</v>
      </c>
      <c r="AB258" s="7" t="n">
        <v>2718.72048115487</v>
      </c>
    </row>
    <row r="259" customFormat="false" ht="15" hidden="false" customHeight="false" outlineLevel="0" collapsed="false">
      <c r="A259" s="4" t="s">
        <v>264</v>
      </c>
      <c r="B259" s="4" t="s">
        <v>265</v>
      </c>
      <c r="C259" s="4" t="s">
        <v>101</v>
      </c>
      <c r="D259" s="4" t="s">
        <v>61</v>
      </c>
      <c r="E259" s="4" t="s">
        <v>93</v>
      </c>
      <c r="F259" s="7" t="n">
        <v>0.384606591796875</v>
      </c>
      <c r="G259" s="7" t="n">
        <v>0</v>
      </c>
      <c r="H259" s="7" t="n">
        <v>0.461527911376953</v>
      </c>
      <c r="I259" s="7" t="n">
        <v>0</v>
      </c>
      <c r="J259" s="7" t="n">
        <v>0.0769204956054688</v>
      </c>
      <c r="K259" s="7" t="n">
        <v>0.846125244140625</v>
      </c>
      <c r="L259" s="7" t="n">
        <v>0.307692437744141</v>
      </c>
      <c r="M259" s="7" t="n">
        <v>1.30765289306641</v>
      </c>
      <c r="N259" s="7" t="n">
        <v>0</v>
      </c>
      <c r="O259" s="7" t="n">
        <v>0</v>
      </c>
      <c r="P259" s="7" t="n">
        <v>4.46151574707031</v>
      </c>
      <c r="Q259" s="7" t="n">
        <v>0.538430773925781</v>
      </c>
      <c r="R259" s="7" t="n">
        <v>0.461507922363281</v>
      </c>
      <c r="S259" s="7" t="n">
        <v>0</v>
      </c>
      <c r="T259" s="7" t="n">
        <v>0</v>
      </c>
      <c r="U259" s="7" t="n">
        <v>0.0769293884277344</v>
      </c>
      <c r="V259" s="7" t="n">
        <v>0.53842607421875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</row>
    <row r="260" customFormat="false" ht="15" hidden="false" customHeight="false" outlineLevel="0" collapsed="false">
      <c r="A260" s="4" t="s">
        <v>266</v>
      </c>
      <c r="B260" s="4" t="s">
        <v>267</v>
      </c>
      <c r="C260" s="4" t="s">
        <v>99</v>
      </c>
      <c r="D260" s="4" t="s">
        <v>43</v>
      </c>
      <c r="E260" s="4" t="s">
        <v>91</v>
      </c>
      <c r="F260" s="7" t="n">
        <v>100.173573683866</v>
      </c>
      <c r="G260" s="7" t="n">
        <v>35.2483481811524</v>
      </c>
      <c r="H260" s="7" t="n">
        <v>3.85121217041016</v>
      </c>
      <c r="I260" s="7" t="n">
        <v>14.8044042236328</v>
      </c>
      <c r="J260" s="7" t="n">
        <v>7.11658904471278</v>
      </c>
      <c r="K260" s="7" t="n">
        <v>32.490410686107</v>
      </c>
      <c r="L260" s="7" t="n">
        <v>28.7793214477539</v>
      </c>
      <c r="M260" s="7" t="n">
        <v>28.4584725668515</v>
      </c>
      <c r="N260" s="7" t="n">
        <v>32.5982548771578</v>
      </c>
      <c r="O260" s="7" t="n">
        <v>99.9206392639155</v>
      </c>
      <c r="P260" s="7" t="n">
        <v>37.4472231750488</v>
      </c>
      <c r="Q260" s="7" t="n">
        <v>20.3596145321436</v>
      </c>
      <c r="R260" s="7" t="n">
        <v>2.89821548385681</v>
      </c>
      <c r="S260" s="7" t="n">
        <v>0.275806081050212</v>
      </c>
      <c r="T260" s="7" t="n">
        <v>0</v>
      </c>
      <c r="U260" s="7" t="n">
        <v>2.9696697265625</v>
      </c>
      <c r="V260" s="7" t="n">
        <v>16.2191857177734</v>
      </c>
      <c r="W260" s="7" t="n">
        <v>0.117810477132741</v>
      </c>
      <c r="X260" s="7" t="n">
        <v>0.0248710464681495</v>
      </c>
      <c r="Y260" s="7" t="n">
        <v>0</v>
      </c>
      <c r="Z260" s="7" t="n">
        <v>0.08480864361223</v>
      </c>
      <c r="AA260" s="7" t="n">
        <v>0.422220814182949</v>
      </c>
      <c r="AB260" s="7" t="n">
        <v>0</v>
      </c>
    </row>
    <row r="261" customFormat="false" ht="15" hidden="false" customHeight="false" outlineLevel="0" collapsed="false">
      <c r="A261" s="4" t="s">
        <v>266</v>
      </c>
      <c r="B261" s="4" t="s">
        <v>267</v>
      </c>
      <c r="C261" s="4" t="s">
        <v>99</v>
      </c>
      <c r="D261" s="4" t="s">
        <v>43</v>
      </c>
      <c r="E261" s="4" t="s">
        <v>92</v>
      </c>
      <c r="F261" s="7" t="n">
        <v>87.5275366784431</v>
      </c>
      <c r="G261" s="7" t="n">
        <v>88.3250273798924</v>
      </c>
      <c r="H261" s="7" t="n">
        <v>0</v>
      </c>
      <c r="I261" s="7" t="n">
        <v>51.5284383544922</v>
      </c>
      <c r="J261" s="7" t="n">
        <v>19.6094244745743</v>
      </c>
      <c r="K261" s="7" t="n">
        <v>0</v>
      </c>
      <c r="L261" s="7" t="n">
        <v>0</v>
      </c>
      <c r="M261" s="7" t="n">
        <v>0</v>
      </c>
      <c r="N261" s="7" t="n">
        <v>10.9137626273899</v>
      </c>
      <c r="O261" s="7" t="n">
        <v>0</v>
      </c>
      <c r="P261" s="7" t="n">
        <v>0</v>
      </c>
      <c r="Q261" s="7" t="n">
        <v>7.4017770511084</v>
      </c>
      <c r="R261" s="7" t="n">
        <v>1.19663149490295</v>
      </c>
      <c r="S261" s="7" t="n">
        <v>0.180325956303304</v>
      </c>
      <c r="T261" s="7" t="n">
        <v>0</v>
      </c>
      <c r="U261" s="7" t="n">
        <v>0</v>
      </c>
      <c r="V261" s="7" t="n">
        <v>0</v>
      </c>
      <c r="W261" s="7" t="n">
        <v>0.227276247720775</v>
      </c>
      <c r="X261" s="7" t="n">
        <v>0.0346837692056787</v>
      </c>
      <c r="Y261" s="7" t="n">
        <v>0</v>
      </c>
      <c r="Z261" s="7" t="n">
        <v>0.0917668996006606</v>
      </c>
      <c r="AA261" s="7" t="n">
        <v>0.737621580836583</v>
      </c>
      <c r="AB261" s="7" t="n">
        <v>0</v>
      </c>
    </row>
    <row r="262" customFormat="false" ht="15" hidden="false" customHeight="false" outlineLevel="0" collapsed="false">
      <c r="A262" s="4" t="s">
        <v>266</v>
      </c>
      <c r="B262" s="4" t="s">
        <v>267</v>
      </c>
      <c r="C262" s="4" t="s">
        <v>99</v>
      </c>
      <c r="D262" s="4" t="s">
        <v>43</v>
      </c>
      <c r="E262" s="4" t="s">
        <v>93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</row>
    <row r="263" customFormat="false" ht="15" hidden="false" customHeight="false" outlineLevel="0" collapsed="false">
      <c r="A263" s="4" t="s">
        <v>268</v>
      </c>
      <c r="B263" s="4" t="s">
        <v>269</v>
      </c>
      <c r="C263" s="4" t="s">
        <v>146</v>
      </c>
      <c r="D263" s="4" t="s">
        <v>81</v>
      </c>
      <c r="E263" s="4" t="s">
        <v>91</v>
      </c>
      <c r="F263" s="7" t="n">
        <v>3731.33478591409</v>
      </c>
      <c r="G263" s="7" t="n">
        <v>6692.33474006085</v>
      </c>
      <c r="H263" s="7" t="n">
        <v>7653.51056134695</v>
      </c>
      <c r="I263" s="7" t="n">
        <v>7703.50551217941</v>
      </c>
      <c r="J263" s="7" t="n">
        <v>6791.33292413612</v>
      </c>
      <c r="K263" s="7" t="n">
        <v>7088.3413414208</v>
      </c>
      <c r="L263" s="7" t="n">
        <v>10333.789816813</v>
      </c>
      <c r="M263" s="7" t="n">
        <v>27265.5879604176</v>
      </c>
      <c r="N263" s="7" t="n">
        <v>58546.2114644518</v>
      </c>
      <c r="O263" s="7" t="n">
        <v>59173.9428726012</v>
      </c>
      <c r="P263" s="7" t="n">
        <v>57623.4521653433</v>
      </c>
      <c r="Q263" s="7" t="n">
        <v>55507.1542045524</v>
      </c>
      <c r="R263" s="7" t="n">
        <v>54886.0588672362</v>
      </c>
      <c r="S263" s="7" t="n">
        <v>73524.6384676156</v>
      </c>
      <c r="T263" s="7" t="n">
        <v>82446.8509104361</v>
      </c>
      <c r="U263" s="7" t="n">
        <v>98321.0304432548</v>
      </c>
      <c r="V263" s="7" t="n">
        <v>100795.666666667</v>
      </c>
      <c r="W263" s="7" t="n">
        <v>96620.2493498249</v>
      </c>
      <c r="X263" s="7" t="n">
        <v>71110</v>
      </c>
      <c r="Y263" s="7" t="n">
        <v>43227.5570746641</v>
      </c>
      <c r="Z263" s="7" t="n">
        <v>26836.2783622256</v>
      </c>
      <c r="AA263" s="7" t="n">
        <v>28354.9123556083</v>
      </c>
      <c r="AB263" s="7" t="n">
        <v>32806.249264166</v>
      </c>
    </row>
    <row r="264" customFormat="false" ht="15" hidden="false" customHeight="false" outlineLevel="0" collapsed="false">
      <c r="A264" s="4" t="s">
        <v>268</v>
      </c>
      <c r="B264" s="4" t="s">
        <v>269</v>
      </c>
      <c r="C264" s="4" t="s">
        <v>146</v>
      </c>
      <c r="D264" s="4" t="s">
        <v>81</v>
      </c>
      <c r="E264" s="4" t="s">
        <v>92</v>
      </c>
      <c r="F264" s="7" t="n">
        <v>20303.6746150849</v>
      </c>
      <c r="G264" s="7" t="n">
        <v>40745.934273202</v>
      </c>
      <c r="H264" s="7" t="n">
        <v>42800.5132381463</v>
      </c>
      <c r="I264" s="7" t="n">
        <v>54308.6664817757</v>
      </c>
      <c r="J264" s="7" t="n">
        <v>7434.93789713003</v>
      </c>
      <c r="K264" s="7" t="n">
        <v>5725.98486075429</v>
      </c>
      <c r="L264" s="7" t="n">
        <v>4252.51131887735</v>
      </c>
      <c r="M264" s="7" t="n">
        <v>4085.6877595542</v>
      </c>
      <c r="N264" s="7" t="n">
        <v>2052.31552984182</v>
      </c>
      <c r="O264" s="7" t="n">
        <v>1829.58890191019</v>
      </c>
      <c r="P264" s="7" t="n">
        <v>1201.8471954683</v>
      </c>
      <c r="Q264" s="7" t="n">
        <v>1033.31050494343</v>
      </c>
      <c r="R264" s="7" t="n">
        <v>693.756855167418</v>
      </c>
      <c r="S264" s="7" t="n">
        <v>3950.86771613469</v>
      </c>
      <c r="T264" s="7" t="n">
        <v>4502.8561900913</v>
      </c>
      <c r="U264" s="7" t="n">
        <v>6282.7069262351</v>
      </c>
      <c r="V264" s="7" t="n">
        <v>4340.86079834398</v>
      </c>
      <c r="W264" s="7" t="n">
        <v>4148.04873514939</v>
      </c>
      <c r="X264" s="7" t="n">
        <v>3188.3818238843</v>
      </c>
      <c r="Y264" s="7" t="n">
        <v>5391.11034186982</v>
      </c>
      <c r="Z264" s="7" t="n">
        <v>7427.44729005047</v>
      </c>
      <c r="AA264" s="7" t="n">
        <v>12962.6184407781</v>
      </c>
      <c r="AB264" s="7" t="n">
        <v>8593.72535756611</v>
      </c>
    </row>
    <row r="265" customFormat="false" ht="15" hidden="false" customHeight="false" outlineLevel="0" collapsed="false">
      <c r="A265" s="4" t="s">
        <v>268</v>
      </c>
      <c r="B265" s="4" t="s">
        <v>269</v>
      </c>
      <c r="C265" s="4" t="s">
        <v>146</v>
      </c>
      <c r="D265" s="4" t="s">
        <v>81</v>
      </c>
      <c r="E265" s="4" t="s">
        <v>93</v>
      </c>
      <c r="F265" s="7" t="n">
        <v>474.981572316946</v>
      </c>
      <c r="G265" s="7" t="n">
        <v>369.900752908869</v>
      </c>
      <c r="H265" s="7" t="n">
        <v>230.200734706605</v>
      </c>
      <c r="I265" s="7" t="n">
        <v>442.967214774781</v>
      </c>
      <c r="J265" s="7" t="n">
        <v>916.957530988594</v>
      </c>
      <c r="K265" s="7" t="n">
        <v>1015.99852151959</v>
      </c>
      <c r="L265" s="7" t="n">
        <v>1046.2043949466</v>
      </c>
      <c r="M265" s="7" t="n">
        <v>450.396901343879</v>
      </c>
      <c r="N265" s="7" t="n">
        <v>1277.53106768476</v>
      </c>
      <c r="O265" s="7" t="n">
        <v>1590.84072059931</v>
      </c>
      <c r="P265" s="7" t="n">
        <v>825.957447203618</v>
      </c>
      <c r="Q265" s="7" t="n">
        <v>1679.54479365115</v>
      </c>
      <c r="R265" s="7" t="n">
        <v>1362.45378784576</v>
      </c>
      <c r="S265" s="7" t="n">
        <v>1228.45443723719</v>
      </c>
      <c r="T265" s="7" t="n">
        <v>2074.33367474179</v>
      </c>
      <c r="U265" s="7" t="n">
        <v>2681.86353055096</v>
      </c>
      <c r="V265" s="7" t="n">
        <v>2362.29718634764</v>
      </c>
      <c r="W265" s="7" t="n">
        <v>1666.15665608368</v>
      </c>
      <c r="X265" s="7" t="n">
        <v>2688.47347722469</v>
      </c>
      <c r="Y265" s="7" t="n">
        <v>2343.29354249262</v>
      </c>
      <c r="Z265" s="7" t="n">
        <v>1822.45130117818</v>
      </c>
      <c r="AA265" s="7" t="n">
        <v>1030.69672675514</v>
      </c>
      <c r="AB265" s="7" t="n">
        <v>1143.09578671266</v>
      </c>
    </row>
    <row r="266" customFormat="false" ht="15" hidden="false" customHeight="false" outlineLevel="0" collapsed="false">
      <c r="A266" s="4" t="s">
        <v>270</v>
      </c>
      <c r="B266" s="4" t="s">
        <v>271</v>
      </c>
      <c r="C266" s="4" t="s">
        <v>112</v>
      </c>
      <c r="D266" s="4" t="s">
        <v>79</v>
      </c>
      <c r="E266" s="4" t="s">
        <v>91</v>
      </c>
      <c r="F266" s="7" t="n">
        <v>7.42747618003696</v>
      </c>
      <c r="G266" s="7" t="n">
        <v>0.367514703369141</v>
      </c>
      <c r="H266" s="7" t="n">
        <v>2.27876672363281</v>
      </c>
      <c r="I266" s="7" t="n">
        <v>0.735121020507813</v>
      </c>
      <c r="J266" s="7" t="n">
        <v>1.47075203857422</v>
      </c>
      <c r="K266" s="7" t="n">
        <v>0</v>
      </c>
      <c r="L266" s="7" t="n">
        <v>1.04409869857265</v>
      </c>
      <c r="M266" s="7" t="n">
        <v>2.20676129150391</v>
      </c>
      <c r="N266" s="7" t="n">
        <v>1.93069963156308</v>
      </c>
      <c r="O266" s="7" t="n">
        <v>3.08885142822266</v>
      </c>
      <c r="P266" s="7" t="n">
        <v>0.968731200610515</v>
      </c>
      <c r="Q266" s="7" t="n">
        <v>0.946587978626067</v>
      </c>
      <c r="R266" s="7" t="n">
        <v>0.38745938915909</v>
      </c>
      <c r="S266" s="7" t="n">
        <v>0.0988438566844808</v>
      </c>
      <c r="T266" s="7" t="n">
        <v>0</v>
      </c>
      <c r="U266" s="7" t="n">
        <v>0.0735193298339844</v>
      </c>
      <c r="V266" s="7" t="n">
        <v>0.956540972900391</v>
      </c>
      <c r="W266" s="7" t="n">
        <v>0.4415720703125</v>
      </c>
      <c r="X266" s="7" t="n">
        <v>0.29438154296875</v>
      </c>
      <c r="Y266" s="7" t="n">
        <v>0</v>
      </c>
      <c r="Z266" s="7" t="n">
        <v>0.485032695399334</v>
      </c>
      <c r="AA266" s="7" t="n">
        <v>0.0372204174020941</v>
      </c>
      <c r="AB266" s="7" t="n">
        <v>0</v>
      </c>
    </row>
    <row r="267" customFormat="false" ht="15" hidden="false" customHeight="false" outlineLevel="0" collapsed="false">
      <c r="A267" s="4" t="s">
        <v>270</v>
      </c>
      <c r="B267" s="4" t="s">
        <v>271</v>
      </c>
      <c r="C267" s="4" t="s">
        <v>112</v>
      </c>
      <c r="D267" s="4" t="s">
        <v>79</v>
      </c>
      <c r="E267" s="4" t="s">
        <v>92</v>
      </c>
      <c r="F267" s="7" t="n">
        <v>0</v>
      </c>
      <c r="G267" s="7" t="n">
        <v>2.20705229492188</v>
      </c>
      <c r="H267" s="7" t="n">
        <v>3.08861002295401</v>
      </c>
      <c r="I267" s="7" t="n">
        <v>2.7937896204092</v>
      </c>
      <c r="J267" s="7" t="n">
        <v>0</v>
      </c>
      <c r="K267" s="7" t="n">
        <v>2.13340285773782</v>
      </c>
      <c r="L267" s="7" t="n">
        <v>0.0591081861929736</v>
      </c>
      <c r="M267" s="7" t="n">
        <v>0</v>
      </c>
      <c r="N267" s="7" t="n">
        <v>0</v>
      </c>
      <c r="O267" s="7" t="n">
        <v>0</v>
      </c>
      <c r="P267" s="7" t="n">
        <v>0.869964941967609</v>
      </c>
      <c r="Q267" s="7" t="n">
        <v>0.818982962536042</v>
      </c>
      <c r="R267" s="7" t="n">
        <v>0.347719340088957</v>
      </c>
      <c r="S267" s="7" t="n">
        <v>0.12186142896005</v>
      </c>
      <c r="T267" s="7" t="n">
        <v>0</v>
      </c>
      <c r="U267" s="7" t="n">
        <v>0</v>
      </c>
      <c r="V267" s="7" t="n">
        <v>0.548369440340676</v>
      </c>
      <c r="W267" s="7" t="n">
        <v>0.0662164943004005</v>
      </c>
      <c r="X267" s="7" t="n">
        <v>0.435742933227819</v>
      </c>
      <c r="Y267" s="7" t="n">
        <v>0</v>
      </c>
      <c r="Z267" s="7" t="n">
        <v>1.05974246939559</v>
      </c>
      <c r="AA267" s="7" t="n">
        <v>0.0363589710256402</v>
      </c>
      <c r="AB267" s="7" t="n">
        <v>0</v>
      </c>
    </row>
    <row r="268" customFormat="false" ht="15" hidden="false" customHeight="false" outlineLevel="0" collapsed="false">
      <c r="A268" s="4" t="s">
        <v>270</v>
      </c>
      <c r="B268" s="4" t="s">
        <v>271</v>
      </c>
      <c r="C268" s="4" t="s">
        <v>112</v>
      </c>
      <c r="D268" s="4" t="s">
        <v>79</v>
      </c>
      <c r="E268" s="4" t="s">
        <v>93</v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</row>
    <row r="269" customFormat="false" ht="15" hidden="false" customHeight="false" outlineLevel="0" collapsed="false">
      <c r="A269" s="4" t="s">
        <v>83</v>
      </c>
      <c r="B269" s="4" t="s">
        <v>272</v>
      </c>
      <c r="C269" s="4" t="s">
        <v>99</v>
      </c>
      <c r="D269" s="4" t="s">
        <v>83</v>
      </c>
      <c r="E269" s="4" t="s">
        <v>91</v>
      </c>
      <c r="F269" s="7" t="n">
        <v>102.410137539039</v>
      </c>
      <c r="G269" s="7" t="n">
        <v>94.1468815830844</v>
      </c>
      <c r="H269" s="7" t="n">
        <v>30.7995946472168</v>
      </c>
      <c r="I269" s="7" t="n">
        <v>75.0891912790814</v>
      </c>
      <c r="J269" s="7" t="n">
        <v>46.7214659484864</v>
      </c>
      <c r="K269" s="7" t="n">
        <v>93.913075366211</v>
      </c>
      <c r="L269" s="7" t="n">
        <v>43.0895916748047</v>
      </c>
      <c r="M269" s="7" t="n">
        <v>136.004769102879</v>
      </c>
      <c r="N269" s="7" t="n">
        <v>335.159128022163</v>
      </c>
      <c r="O269" s="7" t="n">
        <v>284.950974021279</v>
      </c>
      <c r="P269" s="7" t="n">
        <v>193.664731554556</v>
      </c>
      <c r="Q269" s="7" t="n">
        <v>184.840089485605</v>
      </c>
      <c r="R269" s="7" t="n">
        <v>45.9707353820801</v>
      </c>
      <c r="S269" s="7" t="n">
        <v>93.2499362060547</v>
      </c>
      <c r="T269" s="7" t="n">
        <v>96.5057879547718</v>
      </c>
      <c r="U269" s="7" t="n">
        <v>223.265994292327</v>
      </c>
      <c r="V269" s="7" t="n">
        <v>560.76782436533</v>
      </c>
      <c r="W269" s="7" t="n">
        <v>383.936429092882</v>
      </c>
      <c r="X269" s="7" t="n">
        <v>186.501832036779</v>
      </c>
      <c r="Y269" s="7" t="n">
        <v>0</v>
      </c>
      <c r="Z269" s="7" t="n">
        <v>0</v>
      </c>
      <c r="AA269" s="7" t="n">
        <v>50.1431809453605</v>
      </c>
      <c r="AB269" s="7" t="n">
        <v>31.5505354389228</v>
      </c>
    </row>
    <row r="270" customFormat="false" ht="15" hidden="false" customHeight="false" outlineLevel="0" collapsed="false">
      <c r="A270" s="4" t="s">
        <v>83</v>
      </c>
      <c r="B270" s="4" t="s">
        <v>272</v>
      </c>
      <c r="C270" s="4" t="s">
        <v>99</v>
      </c>
      <c r="D270" s="4" t="s">
        <v>83</v>
      </c>
      <c r="E270" s="4" t="s">
        <v>92</v>
      </c>
      <c r="F270" s="7" t="n">
        <v>78.5175960314011</v>
      </c>
      <c r="G270" s="7" t="n">
        <v>60.7231039687794</v>
      </c>
      <c r="H270" s="7" t="n">
        <v>85.6007287655433</v>
      </c>
      <c r="I270" s="7" t="n">
        <v>361.336522809051</v>
      </c>
      <c r="J270" s="7" t="n">
        <v>257.326214837032</v>
      </c>
      <c r="K270" s="7" t="n">
        <v>326.777055033403</v>
      </c>
      <c r="L270" s="7" t="n">
        <v>228.161940863363</v>
      </c>
      <c r="M270" s="7" t="n">
        <v>711.911403141134</v>
      </c>
      <c r="N270" s="7" t="n">
        <v>210.697085469072</v>
      </c>
      <c r="O270" s="7" t="n">
        <v>201.826843188312</v>
      </c>
      <c r="P270" s="7" t="n">
        <v>125.748083089016</v>
      </c>
      <c r="Q270" s="7" t="n">
        <v>515.718850495152</v>
      </c>
      <c r="R270" s="7" t="n">
        <v>131.648031299744</v>
      </c>
      <c r="S270" s="7" t="n">
        <v>204.40618560863</v>
      </c>
      <c r="T270" s="7" t="n">
        <v>220.271822073304</v>
      </c>
      <c r="U270" s="7" t="n">
        <v>265.110898649926</v>
      </c>
      <c r="V270" s="7" t="n">
        <v>191.850363246257</v>
      </c>
      <c r="W270" s="7" t="n">
        <v>142.416336715822</v>
      </c>
      <c r="X270" s="7" t="n">
        <v>170.227543483695</v>
      </c>
      <c r="Y270" s="7" t="n">
        <v>126.443012568144</v>
      </c>
      <c r="Z270" s="7" t="n">
        <v>101.352576341242</v>
      </c>
      <c r="AA270" s="7" t="n">
        <v>71.358410466993</v>
      </c>
      <c r="AB270" s="7" t="n">
        <v>105.444791308669</v>
      </c>
    </row>
    <row r="271" customFormat="false" ht="15" hidden="false" customHeight="false" outlineLevel="0" collapsed="false">
      <c r="A271" s="4" t="s">
        <v>83</v>
      </c>
      <c r="B271" s="4" t="s">
        <v>272</v>
      </c>
      <c r="C271" s="4" t="s">
        <v>99</v>
      </c>
      <c r="D271" s="4" t="s">
        <v>83</v>
      </c>
      <c r="E271" s="4" t="s">
        <v>93</v>
      </c>
      <c r="F271" s="7" t="n">
        <v>2272.16778592534</v>
      </c>
      <c r="G271" s="7" t="n">
        <v>1718.08683896673</v>
      </c>
      <c r="H271" s="7" t="n">
        <v>1469.86629485997</v>
      </c>
      <c r="I271" s="7" t="n">
        <v>4354.47218605833</v>
      </c>
      <c r="J271" s="7" t="n">
        <v>3249.28234917006</v>
      </c>
      <c r="K271" s="7" t="n">
        <v>4256.13273337425</v>
      </c>
      <c r="L271" s="7" t="n">
        <v>2751.62354814459</v>
      </c>
      <c r="M271" s="7" t="n">
        <v>5333.95326314184</v>
      </c>
      <c r="N271" s="7" t="n">
        <v>6130.74627658095</v>
      </c>
      <c r="O271" s="7" t="n">
        <v>6220.15763684886</v>
      </c>
      <c r="P271" s="7" t="n">
        <v>4616.34745647227</v>
      </c>
      <c r="Q271" s="7" t="n">
        <v>6756.63543062253</v>
      </c>
      <c r="R271" s="7" t="n">
        <v>4325.87280375127</v>
      </c>
      <c r="S271" s="7" t="n">
        <v>658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</row>
    <row r="272" customFormat="false" ht="15" hidden="false" customHeight="false" outlineLevel="0" collapsed="false">
      <c r="A272" s="4" t="s">
        <v>273</v>
      </c>
      <c r="B272" s="4" t="s">
        <v>274</v>
      </c>
      <c r="C272" s="4" t="s">
        <v>146</v>
      </c>
      <c r="D272" s="4" t="s">
        <v>81</v>
      </c>
      <c r="E272" s="4" t="s">
        <v>91</v>
      </c>
      <c r="F272" s="7" t="n">
        <v>6794.33749181143</v>
      </c>
      <c r="G272" s="7" t="n">
        <v>9101.72867749912</v>
      </c>
      <c r="H272" s="7" t="n">
        <v>10294.6411367437</v>
      </c>
      <c r="I272" s="7" t="n">
        <v>8621.17373668604</v>
      </c>
      <c r="J272" s="7" t="n">
        <v>7994.65355297725</v>
      </c>
      <c r="K272" s="7" t="n">
        <v>14688.5154977503</v>
      </c>
      <c r="L272" s="7" t="n">
        <v>16248.1557346722</v>
      </c>
      <c r="M272" s="7" t="n">
        <v>9610.16478908035</v>
      </c>
      <c r="N272" s="7" t="n">
        <v>17685.7724808272</v>
      </c>
      <c r="O272" s="7" t="n">
        <v>18280.8277849962</v>
      </c>
      <c r="P272" s="7" t="n">
        <v>15844.9242976283</v>
      </c>
      <c r="Q272" s="7" t="n">
        <v>17704.2342561118</v>
      </c>
      <c r="R272" s="7" t="n">
        <v>13863.876519141</v>
      </c>
      <c r="S272" s="7" t="n">
        <v>6329.7243203227</v>
      </c>
      <c r="T272" s="7" t="n">
        <v>6283.90058833845</v>
      </c>
      <c r="U272" s="7" t="n">
        <v>8796.60915559101</v>
      </c>
      <c r="V272" s="7" t="n">
        <v>5500.72896777267</v>
      </c>
      <c r="W272" s="7" t="n">
        <v>2659.71404759466</v>
      </c>
      <c r="X272" s="7" t="n">
        <v>6156.35271359514</v>
      </c>
      <c r="Y272" s="7" t="n">
        <v>36895.3970523819</v>
      </c>
      <c r="Z272" s="7" t="n">
        <v>37922.1461467302</v>
      </c>
      <c r="AA272" s="7" t="n">
        <v>39599.6198166427</v>
      </c>
      <c r="AB272" s="7" t="n">
        <v>47620.8259096275</v>
      </c>
    </row>
    <row r="273" customFormat="false" ht="15" hidden="false" customHeight="false" outlineLevel="0" collapsed="false">
      <c r="A273" s="4" t="s">
        <v>273</v>
      </c>
      <c r="B273" s="4" t="s">
        <v>274</v>
      </c>
      <c r="C273" s="4" t="s">
        <v>146</v>
      </c>
      <c r="D273" s="4" t="s">
        <v>81</v>
      </c>
      <c r="E273" s="4" t="s">
        <v>92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29.6036312283198</v>
      </c>
      <c r="O273" s="7" t="n">
        <v>323.40320966999</v>
      </c>
      <c r="P273" s="7" t="n">
        <v>631.234497378093</v>
      </c>
      <c r="Q273" s="7" t="n">
        <v>633.030656118422</v>
      </c>
      <c r="R273" s="7" t="n">
        <v>1026.1177094272</v>
      </c>
      <c r="S273" s="7" t="n">
        <v>5645.18708830558</v>
      </c>
      <c r="T273" s="7" t="n">
        <v>5508.06678400848</v>
      </c>
      <c r="U273" s="7" t="n">
        <v>10068.1118985825</v>
      </c>
      <c r="V273" s="7" t="n">
        <v>13739.1526626056</v>
      </c>
      <c r="W273" s="7" t="n">
        <v>14731.3396377019</v>
      </c>
      <c r="X273" s="7" t="n">
        <v>14601.1907736067</v>
      </c>
      <c r="Y273" s="7" t="n">
        <v>14489.481580122</v>
      </c>
      <c r="Z273" s="7" t="n">
        <v>12560.3894905588</v>
      </c>
      <c r="AA273" s="7" t="n">
        <v>18872.273101509</v>
      </c>
      <c r="AB273" s="7" t="n">
        <v>18936.7536149153</v>
      </c>
    </row>
    <row r="274" customFormat="false" ht="15" hidden="false" customHeight="false" outlineLevel="0" collapsed="false">
      <c r="A274" s="4" t="s">
        <v>273</v>
      </c>
      <c r="B274" s="4" t="s">
        <v>274</v>
      </c>
      <c r="C274" s="4" t="s">
        <v>146</v>
      </c>
      <c r="D274" s="4" t="s">
        <v>81</v>
      </c>
      <c r="E274" s="4" t="s">
        <v>93</v>
      </c>
      <c r="F274" s="7" t="n">
        <v>372.314551844743</v>
      </c>
      <c r="G274" s="7" t="n">
        <v>241.843470344086</v>
      </c>
      <c r="H274" s="7" t="n">
        <v>240.195185097096</v>
      </c>
      <c r="I274" s="7" t="n">
        <v>365.847523573799</v>
      </c>
      <c r="J274" s="7" t="n">
        <v>254.94712050551</v>
      </c>
      <c r="K274" s="7" t="n">
        <v>736.683074932604</v>
      </c>
      <c r="L274" s="7" t="n">
        <v>903.061521374929</v>
      </c>
      <c r="M274" s="7" t="n">
        <v>388.859524900798</v>
      </c>
      <c r="N274" s="7" t="n">
        <v>677.851668153952</v>
      </c>
      <c r="O274" s="7" t="n">
        <v>449.388206157175</v>
      </c>
      <c r="P274" s="7" t="n">
        <v>233.180608208758</v>
      </c>
      <c r="Q274" s="7" t="n">
        <v>277.270996837285</v>
      </c>
      <c r="R274" s="7" t="n">
        <v>186.990534457094</v>
      </c>
      <c r="S274" s="7" t="n">
        <v>455.246687616441</v>
      </c>
      <c r="T274" s="7" t="n">
        <v>493.122202689682</v>
      </c>
      <c r="U274" s="7" t="n">
        <v>917.016327972807</v>
      </c>
      <c r="V274" s="7" t="n">
        <v>591.593004496472</v>
      </c>
      <c r="W274" s="7" t="n">
        <v>744.890551712024</v>
      </c>
      <c r="X274" s="7" t="n">
        <v>817.267208000808</v>
      </c>
      <c r="Y274" s="7" t="n">
        <v>916.301352955106</v>
      </c>
      <c r="Z274" s="7" t="n">
        <v>653.734013319028</v>
      </c>
      <c r="AA274" s="7" t="n">
        <v>542.755234106719</v>
      </c>
      <c r="AB274" s="7" t="n">
        <v>756.592016808176</v>
      </c>
    </row>
    <row r="275" customFormat="false" ht="15" hidden="false" customHeight="false" outlineLevel="0" collapsed="false">
      <c r="A275" s="4" t="s">
        <v>275</v>
      </c>
      <c r="B275" s="4" t="s">
        <v>276</v>
      </c>
      <c r="C275" s="4" t="s">
        <v>99</v>
      </c>
      <c r="D275" s="4" t="s">
        <v>77</v>
      </c>
      <c r="E275" s="4" t="s">
        <v>91</v>
      </c>
      <c r="F275" s="7" t="n">
        <v>10.5787190890126</v>
      </c>
      <c r="G275" s="7" t="n">
        <v>6.43643374914979</v>
      </c>
      <c r="H275" s="7" t="n">
        <v>3.67009588012695</v>
      </c>
      <c r="I275" s="7" t="n">
        <v>3.35022654418945</v>
      </c>
      <c r="J275" s="7" t="n">
        <v>6.50435165405274</v>
      </c>
      <c r="K275" s="7" t="n">
        <v>8.96847637949027</v>
      </c>
      <c r="L275" s="7" t="n">
        <v>3.53956080322266</v>
      </c>
      <c r="M275" s="7" t="n">
        <v>11.8596382202148</v>
      </c>
      <c r="N275" s="7" t="n">
        <v>13.7597528991699</v>
      </c>
      <c r="O275" s="7" t="n">
        <v>9.07476565551758</v>
      </c>
      <c r="P275" s="7" t="n">
        <v>11.0767844665527</v>
      </c>
      <c r="Q275" s="7" t="n">
        <v>19.9415709006833</v>
      </c>
      <c r="R275" s="7" t="n">
        <v>11.1365309036074</v>
      </c>
      <c r="S275" s="7" t="n">
        <v>10.3226845087283</v>
      </c>
      <c r="T275" s="7" t="n">
        <v>6.64270988432432</v>
      </c>
      <c r="U275" s="7" t="n">
        <v>21.1636019061681</v>
      </c>
      <c r="V275" s="7" t="n">
        <v>33.6071198981072</v>
      </c>
      <c r="W275" s="7" t="n">
        <v>9.15412016005572</v>
      </c>
      <c r="X275" s="7" t="n">
        <v>12.485228679593</v>
      </c>
      <c r="Y275" s="7" t="n">
        <v>1.83570129791206</v>
      </c>
      <c r="Z275" s="7" t="n">
        <v>0</v>
      </c>
      <c r="AA275" s="7" t="n">
        <v>0</v>
      </c>
      <c r="AB275" s="7" t="n">
        <v>0.403076419840853</v>
      </c>
    </row>
    <row r="276" customFormat="false" ht="15" hidden="false" customHeight="false" outlineLevel="0" collapsed="false">
      <c r="A276" s="4" t="s">
        <v>275</v>
      </c>
      <c r="B276" s="4" t="s">
        <v>276</v>
      </c>
      <c r="C276" s="4" t="s">
        <v>99</v>
      </c>
      <c r="D276" s="4" t="s">
        <v>77</v>
      </c>
      <c r="E276" s="4" t="s">
        <v>92</v>
      </c>
      <c r="F276" s="7" t="n">
        <v>8.30076924163997</v>
      </c>
      <c r="G276" s="7" t="n">
        <v>2.68989212975646</v>
      </c>
      <c r="H276" s="7" t="n">
        <v>1.67278190917969</v>
      </c>
      <c r="I276" s="7" t="n">
        <v>1.85565870361328</v>
      </c>
      <c r="J276" s="7" t="n">
        <v>8.0677809753418</v>
      </c>
      <c r="K276" s="7" t="n">
        <v>2.6997817199707</v>
      </c>
      <c r="L276" s="7" t="n">
        <v>4.86980441906499</v>
      </c>
      <c r="M276" s="7" t="n">
        <v>5.7132465637207</v>
      </c>
      <c r="N276" s="7" t="n">
        <v>5.00382692260742</v>
      </c>
      <c r="O276" s="7" t="n">
        <v>0</v>
      </c>
      <c r="P276" s="7" t="n">
        <v>0</v>
      </c>
      <c r="Q276" s="7" t="n">
        <v>0.825118229817101</v>
      </c>
      <c r="R276" s="7" t="n">
        <v>0.321766801470704</v>
      </c>
      <c r="S276" s="7" t="n">
        <v>0.135350761094939</v>
      </c>
      <c r="T276" s="7" t="n">
        <v>0.0402901234067961</v>
      </c>
      <c r="U276" s="7" t="n">
        <v>1.29144595149789</v>
      </c>
      <c r="V276" s="7" t="n">
        <v>1.21489801331767</v>
      </c>
      <c r="W276" s="7" t="n">
        <v>0</v>
      </c>
      <c r="X276" s="7" t="n">
        <v>0.109967884127663</v>
      </c>
      <c r="Y276" s="7" t="n">
        <v>0.925656117859428</v>
      </c>
      <c r="Z276" s="7" t="n">
        <v>1.34374878540039</v>
      </c>
      <c r="AA276" s="7" t="n">
        <v>1.79634702148438</v>
      </c>
      <c r="AB276" s="7" t="n">
        <v>1.26499764021774</v>
      </c>
    </row>
    <row r="277" customFormat="false" ht="15" hidden="false" customHeight="false" outlineLevel="0" collapsed="false">
      <c r="A277" s="4" t="s">
        <v>275</v>
      </c>
      <c r="B277" s="4" t="s">
        <v>276</v>
      </c>
      <c r="C277" s="4" t="s">
        <v>99</v>
      </c>
      <c r="D277" s="4" t="s">
        <v>77</v>
      </c>
      <c r="E277" s="4" t="s">
        <v>93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</row>
    <row r="278" customFormat="false" ht="15" hidden="false" customHeight="false" outlineLevel="0" collapsed="false">
      <c r="A278" s="4" t="s">
        <v>277</v>
      </c>
      <c r="B278" s="4" t="s">
        <v>278</v>
      </c>
      <c r="C278" s="4" t="s">
        <v>101</v>
      </c>
      <c r="D278" s="4" t="s">
        <v>57</v>
      </c>
      <c r="E278" s="4" t="s">
        <v>91</v>
      </c>
      <c r="F278" s="7" t="n">
        <v>1337.7468249804</v>
      </c>
      <c r="G278" s="7" t="n">
        <v>1614.55221725878</v>
      </c>
      <c r="H278" s="7" t="n">
        <v>1320.21049489154</v>
      </c>
      <c r="I278" s="7" t="n">
        <v>334.542677622063</v>
      </c>
      <c r="J278" s="7" t="n">
        <v>2385.97518223736</v>
      </c>
      <c r="K278" s="7" t="n">
        <v>15592.2331745702</v>
      </c>
      <c r="L278" s="7" t="n">
        <v>19665.6921589426</v>
      </c>
      <c r="M278" s="7" t="n">
        <v>29472.8506106173</v>
      </c>
      <c r="N278" s="7" t="n">
        <v>23371.4994841166</v>
      </c>
      <c r="O278" s="7" t="n">
        <v>10933</v>
      </c>
      <c r="P278" s="7" t="n">
        <v>2784.70978291688</v>
      </c>
      <c r="Q278" s="7" t="n">
        <v>2826.84923252911</v>
      </c>
      <c r="R278" s="7" t="n">
        <v>3971.57235831831</v>
      </c>
      <c r="S278" s="7" t="n">
        <v>3317.08490275258</v>
      </c>
      <c r="T278" s="7" t="n">
        <v>5235.86196433807</v>
      </c>
      <c r="U278" s="7" t="n">
        <v>9246.09663600851</v>
      </c>
      <c r="V278" s="7" t="n">
        <v>6810.00555152597</v>
      </c>
      <c r="W278" s="7" t="n">
        <v>5699.16413403109</v>
      </c>
      <c r="X278" s="7" t="n">
        <v>4602.40757050815</v>
      </c>
      <c r="Y278" s="7" t="n">
        <v>3935.79562605353</v>
      </c>
      <c r="Z278" s="7" t="n">
        <v>4643.31061646066</v>
      </c>
      <c r="AA278" s="7" t="n">
        <v>4460.51564964381</v>
      </c>
      <c r="AB278" s="7" t="n">
        <v>4346.54063071933</v>
      </c>
    </row>
    <row r="279" customFormat="false" ht="15" hidden="false" customHeight="false" outlineLevel="0" collapsed="false">
      <c r="A279" s="4" t="s">
        <v>277</v>
      </c>
      <c r="B279" s="4" t="s">
        <v>278</v>
      </c>
      <c r="C279" s="4" t="s">
        <v>101</v>
      </c>
      <c r="D279" s="4" t="s">
        <v>57</v>
      </c>
      <c r="E279" s="4" t="s">
        <v>92</v>
      </c>
      <c r="F279" s="7" t="n">
        <v>24302.3101673637</v>
      </c>
      <c r="G279" s="7" t="n">
        <v>30958.3925782827</v>
      </c>
      <c r="H279" s="7" t="n">
        <v>18670.2202824308</v>
      </c>
      <c r="I279" s="7" t="n">
        <v>5495.27788763852</v>
      </c>
      <c r="J279" s="7" t="n">
        <v>8258.46893010331</v>
      </c>
      <c r="K279" s="7" t="n">
        <v>18817.9961386529</v>
      </c>
      <c r="L279" s="7" t="n">
        <v>16093.2457268648</v>
      </c>
      <c r="M279" s="7" t="n">
        <v>4981.46992813435</v>
      </c>
      <c r="N279" s="7" t="n">
        <v>10168.0966484138</v>
      </c>
      <c r="O279" s="7" t="n">
        <v>7912.1591553529</v>
      </c>
      <c r="P279" s="7" t="n">
        <v>27782.261445755</v>
      </c>
      <c r="Q279" s="7" t="n">
        <v>35141.2228884154</v>
      </c>
      <c r="R279" s="7" t="n">
        <v>35013.2006175416</v>
      </c>
      <c r="S279" s="7" t="n">
        <v>35797.4848396351</v>
      </c>
      <c r="T279" s="7" t="n">
        <v>32217.0904814317</v>
      </c>
      <c r="U279" s="7" t="n">
        <v>28147.242600728</v>
      </c>
      <c r="V279" s="7" t="n">
        <v>17234.2644751983</v>
      </c>
      <c r="W279" s="7" t="n">
        <v>7374.44025564831</v>
      </c>
      <c r="X279" s="7" t="n">
        <v>1627.76662956441</v>
      </c>
      <c r="Y279" s="7" t="n">
        <v>1775.07583043236</v>
      </c>
      <c r="Z279" s="7" t="n">
        <v>1514.55327155839</v>
      </c>
      <c r="AA279" s="7" t="n">
        <v>1459.16429561051</v>
      </c>
      <c r="AB279" s="7" t="n">
        <v>1582.93113253375</v>
      </c>
    </row>
    <row r="280" customFormat="false" ht="15" hidden="false" customHeight="false" outlineLevel="0" collapsed="false">
      <c r="A280" s="4" t="s">
        <v>277</v>
      </c>
      <c r="B280" s="4" t="s">
        <v>278</v>
      </c>
      <c r="C280" s="4" t="s">
        <v>101</v>
      </c>
      <c r="D280" s="4" t="s">
        <v>57</v>
      </c>
      <c r="E280" s="4" t="s">
        <v>93</v>
      </c>
      <c r="F280" s="7" t="n">
        <v>1926.36161397802</v>
      </c>
      <c r="G280" s="7" t="n">
        <v>861.000000000001</v>
      </c>
      <c r="H280" s="7" t="n">
        <v>861</v>
      </c>
      <c r="I280" s="7" t="n">
        <v>329.271425551926</v>
      </c>
      <c r="J280" s="7" t="n">
        <v>493.794906121034</v>
      </c>
      <c r="K280" s="7" t="n">
        <v>861</v>
      </c>
      <c r="L280" s="7" t="n">
        <v>860.999999999999</v>
      </c>
      <c r="M280" s="7" t="n">
        <v>860.666666666667</v>
      </c>
      <c r="N280" s="7" t="n">
        <v>1438.15893965696</v>
      </c>
      <c r="O280" s="7" t="n">
        <v>860</v>
      </c>
      <c r="P280" s="7" t="n">
        <v>1566.17188795575</v>
      </c>
      <c r="Q280" s="7" t="n">
        <v>1899.67672913041</v>
      </c>
      <c r="R280" s="7" t="n">
        <v>3087.00569085874</v>
      </c>
      <c r="S280" s="7" t="n">
        <v>2560.74559225363</v>
      </c>
      <c r="T280" s="7" t="n">
        <v>1503.73170404431</v>
      </c>
      <c r="U280" s="7" t="n">
        <v>1408.6622426169</v>
      </c>
      <c r="V280" s="7" t="n">
        <v>1138.24803519569</v>
      </c>
      <c r="W280" s="7" t="n">
        <v>864.444444444445</v>
      </c>
      <c r="X280" s="7" t="n">
        <v>862.592592592593</v>
      </c>
      <c r="Y280" s="7" t="n">
        <v>863.456790123456</v>
      </c>
      <c r="Z280" s="7" t="n">
        <v>863.518518518516</v>
      </c>
      <c r="AA280" s="7" t="n">
        <v>862.592592592591</v>
      </c>
      <c r="AB280" s="7" t="n">
        <v>863.189300411521</v>
      </c>
    </row>
    <row r="281" customFormat="false" ht="15" hidden="false" customHeight="false" outlineLevel="0" collapsed="false">
      <c r="A281" s="4" t="s">
        <v>279</v>
      </c>
      <c r="B281" s="4" t="s">
        <v>280</v>
      </c>
      <c r="C281" s="4" t="s">
        <v>101</v>
      </c>
      <c r="D281" s="4" t="s">
        <v>55</v>
      </c>
      <c r="E281" s="4" t="s">
        <v>91</v>
      </c>
      <c r="F281" s="7" t="n">
        <v>0.324792718505859</v>
      </c>
      <c r="G281" s="7" t="n">
        <v>0.259687493896484</v>
      </c>
      <c r="H281" s="7" t="n">
        <v>0.584487420654297</v>
      </c>
      <c r="I281" s="7" t="n">
        <v>0.930529835076644</v>
      </c>
      <c r="J281" s="7" t="n">
        <v>1.83801699660337</v>
      </c>
      <c r="K281" s="7" t="n">
        <v>1.86287585227266</v>
      </c>
      <c r="L281" s="7" t="n">
        <v>0</v>
      </c>
      <c r="M281" s="7" t="n">
        <v>0.0650885681152344</v>
      </c>
      <c r="N281" s="7" t="n">
        <v>0.129713500976563</v>
      </c>
      <c r="O281" s="7" t="n">
        <v>2.09496612138741</v>
      </c>
      <c r="P281" s="7" t="n">
        <v>2.22361635695186</v>
      </c>
      <c r="Q281" s="7" t="n">
        <v>1.32890918672046</v>
      </c>
      <c r="R281" s="7" t="n">
        <v>1.76801283897724</v>
      </c>
      <c r="S281" s="7" t="n">
        <v>1.46836340868797</v>
      </c>
      <c r="T281" s="7" t="n">
        <v>0.187731622096736</v>
      </c>
      <c r="U281" s="7" t="n">
        <v>0.549410997642152</v>
      </c>
      <c r="V281" s="7" t="n">
        <v>4.2709230097134</v>
      </c>
      <c r="W281" s="7" t="n">
        <v>1.37518878527369</v>
      </c>
      <c r="X281" s="7" t="n">
        <v>0.789533253578615</v>
      </c>
      <c r="Y281" s="7" t="n">
        <v>0</v>
      </c>
      <c r="Z281" s="7" t="n">
        <v>0.240802764540615</v>
      </c>
      <c r="AA281" s="7" t="n">
        <v>0</v>
      </c>
      <c r="AB281" s="7" t="n">
        <v>0.482178602704577</v>
      </c>
    </row>
    <row r="282" customFormat="false" ht="15" hidden="false" customHeight="false" outlineLevel="0" collapsed="false">
      <c r="A282" s="4" t="s">
        <v>279</v>
      </c>
      <c r="B282" s="4" t="s">
        <v>280</v>
      </c>
      <c r="C282" s="4" t="s">
        <v>101</v>
      </c>
      <c r="D282" s="4" t="s">
        <v>55</v>
      </c>
      <c r="E282" s="4" t="s">
        <v>92</v>
      </c>
      <c r="F282" s="7" t="n">
        <v>3.57492823486328</v>
      </c>
      <c r="G282" s="7" t="n">
        <v>1.3649043762207</v>
      </c>
      <c r="H282" s="7" t="n">
        <v>3.50619484863281</v>
      </c>
      <c r="I282" s="7" t="n">
        <v>1.01799117322414</v>
      </c>
      <c r="J282" s="7" t="n">
        <v>0.631200612039206</v>
      </c>
      <c r="K282" s="7" t="n">
        <v>0.347776143576954</v>
      </c>
      <c r="L282" s="7" t="n">
        <v>1.56146793212891</v>
      </c>
      <c r="M282" s="7" t="n">
        <v>1.49467109375</v>
      </c>
      <c r="N282" s="7" t="n">
        <v>0.780028155517578</v>
      </c>
      <c r="O282" s="7" t="n">
        <v>0.30732431440361</v>
      </c>
      <c r="P282" s="7" t="n">
        <v>0.767979761212201</v>
      </c>
      <c r="Q282" s="7" t="n">
        <v>0.424406212449458</v>
      </c>
      <c r="R282" s="7" t="n">
        <v>0.56979954505596</v>
      </c>
      <c r="S282" s="7" t="n">
        <v>0.0898776191440611</v>
      </c>
      <c r="T282" s="7" t="n">
        <v>0.0722134950907636</v>
      </c>
      <c r="U282" s="7" t="n">
        <v>0.0999164437640981</v>
      </c>
      <c r="V282" s="7" t="n">
        <v>0.338539337698713</v>
      </c>
      <c r="W282" s="7" t="n">
        <v>0.183576693241934</v>
      </c>
      <c r="X282" s="7" t="n">
        <v>0.0552783186870101</v>
      </c>
      <c r="Y282" s="7" t="n">
        <v>0</v>
      </c>
      <c r="Z282" s="7" t="n">
        <v>0.0838975345316511</v>
      </c>
      <c r="AA282" s="7" t="n">
        <v>0</v>
      </c>
      <c r="AB282" s="7" t="n">
        <v>0.166828159990735</v>
      </c>
    </row>
    <row r="283" customFormat="false" ht="15" hidden="false" customHeight="false" outlineLevel="0" collapsed="false">
      <c r="A283" s="4" t="s">
        <v>279</v>
      </c>
      <c r="B283" s="4" t="s">
        <v>280</v>
      </c>
      <c r="C283" s="4" t="s">
        <v>101</v>
      </c>
      <c r="D283" s="4" t="s">
        <v>55</v>
      </c>
      <c r="E283" s="4" t="s">
        <v>93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</row>
    <row r="284" customFormat="false" ht="15" hidden="false" customHeight="false" outlineLevel="0" collapsed="false">
      <c r="A284" s="4" t="s">
        <v>281</v>
      </c>
      <c r="B284" s="4" t="s">
        <v>282</v>
      </c>
      <c r="C284" s="4" t="s">
        <v>112</v>
      </c>
      <c r="D284" s="4" t="s">
        <v>79</v>
      </c>
      <c r="E284" s="4" t="s">
        <v>91</v>
      </c>
      <c r="F284" s="7" t="n">
        <v>0.523486767578125</v>
      </c>
      <c r="G284" s="7" t="n">
        <v>0</v>
      </c>
      <c r="H284" s="7" t="n">
        <v>0</v>
      </c>
      <c r="I284" s="7" t="n">
        <v>3.28808919067383</v>
      </c>
      <c r="J284" s="7" t="n">
        <v>2.46607637329102</v>
      </c>
      <c r="K284" s="7" t="n">
        <v>2.31579884033203</v>
      </c>
      <c r="L284" s="7" t="n">
        <v>4.63319858980067</v>
      </c>
      <c r="M284" s="7" t="n">
        <v>0.07478203125</v>
      </c>
      <c r="N284" s="7" t="n">
        <v>0</v>
      </c>
      <c r="O284" s="7" t="n">
        <v>7.30660659765868</v>
      </c>
      <c r="P284" s="7" t="n">
        <v>5.43693588302818</v>
      </c>
      <c r="Q284" s="7" t="n">
        <v>2.45328670032278</v>
      </c>
      <c r="R284" s="7" t="n">
        <v>1.89063571643201</v>
      </c>
      <c r="S284" s="7" t="n">
        <v>1.56563543397623</v>
      </c>
      <c r="T284" s="7" t="n">
        <v>0.323484419632215</v>
      </c>
      <c r="U284" s="7" t="n">
        <v>0.0747849914550781</v>
      </c>
      <c r="V284" s="7" t="n">
        <v>2.09373551635742</v>
      </c>
      <c r="W284" s="7" t="n">
        <v>3.73591048583984</v>
      </c>
      <c r="X284" s="7" t="n">
        <v>1.87775940677981</v>
      </c>
      <c r="Y284" s="7" t="n">
        <v>3.03003608227481</v>
      </c>
      <c r="Z284" s="7" t="n">
        <v>6.72219186393016</v>
      </c>
      <c r="AA284" s="7" t="n">
        <v>1.6123387109444</v>
      </c>
      <c r="AB284" s="7" t="n">
        <v>1.96748360193162</v>
      </c>
    </row>
    <row r="285" customFormat="false" ht="15" hidden="false" customHeight="false" outlineLevel="0" collapsed="false">
      <c r="A285" s="4" t="s">
        <v>281</v>
      </c>
      <c r="B285" s="4" t="s">
        <v>282</v>
      </c>
      <c r="C285" s="4" t="s">
        <v>112</v>
      </c>
      <c r="D285" s="4" t="s">
        <v>79</v>
      </c>
      <c r="E285" s="4" t="s">
        <v>92</v>
      </c>
      <c r="F285" s="7" t="n">
        <v>1.79387250366211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7" t="n">
        <v>0.838784538049998</v>
      </c>
      <c r="P285" s="7" t="n">
        <v>1.13965194045815</v>
      </c>
      <c r="Q285" s="7" t="n">
        <v>0.536020416376442</v>
      </c>
      <c r="R285" s="7" t="n">
        <v>0.500958131224237</v>
      </c>
      <c r="S285" s="7" t="n">
        <v>0.377100735457369</v>
      </c>
      <c r="T285" s="7" t="n">
        <v>0.125002946090442</v>
      </c>
      <c r="U285" s="7" t="n">
        <v>0</v>
      </c>
      <c r="V285" s="7" t="n">
        <v>0</v>
      </c>
      <c r="W285" s="7" t="n">
        <v>0</v>
      </c>
      <c r="X285" s="7" t="n">
        <v>0.139458848835421</v>
      </c>
      <c r="Y285" s="7" t="n">
        <v>0.258201271240812</v>
      </c>
      <c r="Z285" s="7" t="n">
        <v>0.750524076322405</v>
      </c>
      <c r="AA285" s="7" t="n">
        <v>0.181330960686463</v>
      </c>
      <c r="AB285" s="7" t="n">
        <v>0.199940830441429</v>
      </c>
    </row>
    <row r="286" customFormat="false" ht="15" hidden="false" customHeight="false" outlineLevel="0" collapsed="false">
      <c r="A286" s="4" t="s">
        <v>281</v>
      </c>
      <c r="B286" s="4" t="s">
        <v>282</v>
      </c>
      <c r="C286" s="4" t="s">
        <v>112</v>
      </c>
      <c r="D286" s="4" t="s">
        <v>79</v>
      </c>
      <c r="E286" s="4" t="s">
        <v>93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</row>
    <row r="287" customFormat="false" ht="15" hidden="false" customHeight="false" outlineLevel="0" collapsed="false">
      <c r="A287" s="4" t="s">
        <v>283</v>
      </c>
      <c r="B287" s="4" t="s">
        <v>284</v>
      </c>
      <c r="C287" s="4" t="s">
        <v>99</v>
      </c>
      <c r="D287" s="4" t="s">
        <v>81</v>
      </c>
      <c r="E287" s="4" t="s">
        <v>91</v>
      </c>
      <c r="F287" s="7" t="n">
        <v>1347.09801213748</v>
      </c>
      <c r="G287" s="7" t="n">
        <v>2907.92692837835</v>
      </c>
      <c r="H287" s="7" t="n">
        <v>2588.877054937</v>
      </c>
      <c r="I287" s="7" t="n">
        <v>4738.91650046704</v>
      </c>
      <c r="J287" s="7" t="n">
        <v>3678.04292630294</v>
      </c>
      <c r="K287" s="7" t="n">
        <v>6261.05752367529</v>
      </c>
      <c r="L287" s="7" t="n">
        <v>8970.92314671901</v>
      </c>
      <c r="M287" s="7" t="n">
        <v>5380.73590181986</v>
      </c>
      <c r="N287" s="7" t="n">
        <v>12248.863363565</v>
      </c>
      <c r="O287" s="7" t="n">
        <v>6151.29269853017</v>
      </c>
      <c r="P287" s="7" t="n">
        <v>6552.91595267327</v>
      </c>
      <c r="Q287" s="7" t="n">
        <v>4450.15950100759</v>
      </c>
      <c r="R287" s="7" t="n">
        <v>5726.87008519821</v>
      </c>
      <c r="S287" s="7" t="n">
        <v>10751.8195069103</v>
      </c>
      <c r="T287" s="7" t="n">
        <v>6620.72813043581</v>
      </c>
      <c r="U287" s="7" t="n">
        <v>15736.2938929257</v>
      </c>
      <c r="V287" s="7" t="n">
        <v>11148.4663274158</v>
      </c>
      <c r="W287" s="7" t="n">
        <v>4647.87421967151</v>
      </c>
      <c r="X287" s="7" t="n">
        <v>5032.61143504592</v>
      </c>
      <c r="Y287" s="7" t="n">
        <v>10507.7788744393</v>
      </c>
      <c r="Z287" s="7" t="n">
        <v>12511.9128353651</v>
      </c>
      <c r="AA287" s="7" t="n">
        <v>7902.56850490964</v>
      </c>
      <c r="AB287" s="7" t="n">
        <v>11271.7328998653</v>
      </c>
    </row>
    <row r="288" customFormat="false" ht="15" hidden="false" customHeight="false" outlineLevel="0" collapsed="false">
      <c r="A288" s="4" t="s">
        <v>283</v>
      </c>
      <c r="B288" s="4" t="s">
        <v>284</v>
      </c>
      <c r="C288" s="4" t="s">
        <v>99</v>
      </c>
      <c r="D288" s="4" t="s">
        <v>81</v>
      </c>
      <c r="E288" s="4" t="s">
        <v>92</v>
      </c>
      <c r="F288" s="7" t="n">
        <v>2005.38420111989</v>
      </c>
      <c r="G288" s="7" t="n">
        <v>100.466741737021</v>
      </c>
      <c r="H288" s="7" t="n">
        <v>278.530074519234</v>
      </c>
      <c r="I288" s="7" t="n">
        <v>196.96920045239</v>
      </c>
      <c r="J288" s="7" t="n">
        <v>166.764805459706</v>
      </c>
      <c r="K288" s="7" t="n">
        <v>144.276755260688</v>
      </c>
      <c r="L288" s="7" t="n">
        <v>130.673692909294</v>
      </c>
      <c r="M288" s="7" t="n">
        <v>91.4206430984168</v>
      </c>
      <c r="N288" s="7" t="n">
        <v>196.244316420881</v>
      </c>
      <c r="O288" s="7" t="n">
        <v>144.406013063586</v>
      </c>
      <c r="P288" s="7" t="n">
        <v>1943.26854045128</v>
      </c>
      <c r="Q288" s="7" t="n">
        <v>2948.51960922505</v>
      </c>
      <c r="R288" s="7" t="n">
        <v>1487.43077526438</v>
      </c>
      <c r="S288" s="7" t="n">
        <v>683.078761294847</v>
      </c>
      <c r="T288" s="7" t="n">
        <v>142.886685760344</v>
      </c>
      <c r="U288" s="7" t="n">
        <v>404.071939581185</v>
      </c>
      <c r="V288" s="7" t="n">
        <v>637.809582519813</v>
      </c>
      <c r="W288" s="7" t="n">
        <v>1680.5936353391</v>
      </c>
      <c r="X288" s="7" t="n">
        <v>1533.98610335873</v>
      </c>
      <c r="Y288" s="7" t="n">
        <v>102.221780054295</v>
      </c>
      <c r="Z288" s="7" t="n">
        <v>77.7399864871527</v>
      </c>
      <c r="AA288" s="7" t="n">
        <v>24.3127195852995</v>
      </c>
      <c r="AB288" s="7" t="n">
        <v>58.4060652268029</v>
      </c>
    </row>
    <row r="289" customFormat="false" ht="15" hidden="false" customHeight="false" outlineLevel="0" collapsed="false">
      <c r="A289" s="4" t="s">
        <v>283</v>
      </c>
      <c r="B289" s="4" t="s">
        <v>284</v>
      </c>
      <c r="C289" s="4" t="s">
        <v>99</v>
      </c>
      <c r="D289" s="4" t="s">
        <v>81</v>
      </c>
      <c r="E289" s="4" t="s">
        <v>93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460.752600442618</v>
      </c>
      <c r="N289" s="7" t="n">
        <v>654.941563106145</v>
      </c>
      <c r="O289" s="7" t="n">
        <v>326.659352815064</v>
      </c>
      <c r="P289" s="7" t="n">
        <v>423.517268937918</v>
      </c>
      <c r="Q289" s="7" t="n">
        <v>474.338558150564</v>
      </c>
      <c r="R289" s="7" t="n">
        <v>339.332492700182</v>
      </c>
      <c r="S289" s="7" t="n">
        <v>402.447259927893</v>
      </c>
      <c r="T289" s="7" t="n">
        <v>269.522902203952</v>
      </c>
      <c r="U289" s="7" t="n">
        <v>296.666666666667</v>
      </c>
      <c r="V289" s="7" t="n">
        <v>296.666666666667</v>
      </c>
      <c r="W289" s="7" t="n">
        <v>257.314524275797</v>
      </c>
      <c r="X289" s="7" t="n">
        <v>146.745532240818</v>
      </c>
      <c r="Y289" s="7" t="n">
        <v>282.760110348606</v>
      </c>
      <c r="Z289" s="7" t="n">
        <v>294.371197480063</v>
      </c>
      <c r="AA289" s="7" t="n">
        <v>233.915158789357</v>
      </c>
      <c r="AB289" s="7" t="n">
        <v>144.972804553949</v>
      </c>
    </row>
    <row r="290" customFormat="false" ht="15" hidden="false" customHeight="false" outlineLevel="0" collapsed="false">
      <c r="A290" s="4" t="s">
        <v>285</v>
      </c>
      <c r="B290" s="4" t="s">
        <v>286</v>
      </c>
      <c r="C290" s="4" t="s">
        <v>101</v>
      </c>
      <c r="D290" s="4" t="s">
        <v>69</v>
      </c>
      <c r="E290" s="4" t="s">
        <v>91</v>
      </c>
      <c r="F290" s="7" t="n">
        <v>0.403924468994141</v>
      </c>
      <c r="G290" s="7" t="n">
        <v>2.13191910871156</v>
      </c>
      <c r="H290" s="7" t="n">
        <v>0.917721998572503</v>
      </c>
      <c r="I290" s="7" t="n">
        <v>4.65851315078186</v>
      </c>
      <c r="J290" s="7" t="n">
        <v>3.28496579969677</v>
      </c>
      <c r="K290" s="7" t="n">
        <v>2.17858219073898</v>
      </c>
      <c r="L290" s="7" t="n">
        <v>0.403880725097656</v>
      </c>
      <c r="M290" s="7" t="n">
        <v>0.540577459716797</v>
      </c>
      <c r="N290" s="7" t="n">
        <v>0.200645422363281</v>
      </c>
      <c r="O290" s="7" t="n">
        <v>0.135297204589844</v>
      </c>
      <c r="P290" s="7" t="n">
        <v>0.0669401733398438</v>
      </c>
      <c r="Q290" s="7" t="n">
        <v>0.471434613037109</v>
      </c>
      <c r="R290" s="7" t="n">
        <v>5.77583204158116</v>
      </c>
      <c r="S290" s="7" t="n">
        <v>5.80044912109375</v>
      </c>
      <c r="T290" s="7" t="n">
        <v>0.400149395751953</v>
      </c>
      <c r="U290" s="7" t="n">
        <v>0.405477993953929</v>
      </c>
      <c r="V290" s="7" t="n">
        <v>0.671719207763672</v>
      </c>
      <c r="W290" s="7" t="n">
        <v>0</v>
      </c>
      <c r="X290" s="7" t="n">
        <v>2.20839621112802</v>
      </c>
      <c r="Y290" s="7" t="n">
        <v>1.28233310053949</v>
      </c>
      <c r="Z290" s="7" t="n">
        <v>2.3478587097168</v>
      </c>
      <c r="AA290" s="7" t="n">
        <v>1.33788629150391</v>
      </c>
      <c r="AB290" s="7" t="n">
        <v>0.131797962200327</v>
      </c>
    </row>
    <row r="291" customFormat="false" ht="15" hidden="false" customHeight="false" outlineLevel="0" collapsed="false">
      <c r="A291" s="4" t="s">
        <v>285</v>
      </c>
      <c r="B291" s="4" t="s">
        <v>286</v>
      </c>
      <c r="C291" s="4" t="s">
        <v>101</v>
      </c>
      <c r="D291" s="4" t="s">
        <v>69</v>
      </c>
      <c r="E291" s="4" t="s">
        <v>92</v>
      </c>
      <c r="F291" s="7" t="n">
        <v>1.67369591064453</v>
      </c>
      <c r="G291" s="7" t="n">
        <v>1.09240246111266</v>
      </c>
      <c r="H291" s="7" t="n">
        <v>1.83542310640797</v>
      </c>
      <c r="I291" s="7" t="n">
        <v>1.19182973862244</v>
      </c>
      <c r="J291" s="7" t="n">
        <v>0.00248819200245179</v>
      </c>
      <c r="K291" s="7" t="n">
        <v>0.0361157035481314</v>
      </c>
      <c r="L291" s="7" t="n">
        <v>3.19387406819662</v>
      </c>
      <c r="M291" s="7" t="n">
        <v>4.321469957419</v>
      </c>
      <c r="N291" s="7" t="n">
        <v>4.67643717191808</v>
      </c>
      <c r="O291" s="7" t="n">
        <v>1.54634819946289</v>
      </c>
      <c r="P291" s="7" t="n">
        <v>3.82845975988052</v>
      </c>
      <c r="Q291" s="7" t="n">
        <v>2.35066657104492</v>
      </c>
      <c r="R291" s="7" t="n">
        <v>0.0104595782918842</v>
      </c>
      <c r="S291" s="7" t="n">
        <v>0</v>
      </c>
      <c r="T291" s="7" t="n">
        <v>0</v>
      </c>
      <c r="U291" s="7" t="n">
        <v>7.30425572373334</v>
      </c>
      <c r="V291" s="7" t="n">
        <v>2.95454149169922</v>
      </c>
      <c r="W291" s="7" t="n">
        <v>1.34877638540231</v>
      </c>
      <c r="X291" s="7" t="n">
        <v>0.143964366097009</v>
      </c>
      <c r="Y291" s="7" t="n">
        <v>0.541625638139092</v>
      </c>
      <c r="Z291" s="7" t="n">
        <v>0</v>
      </c>
      <c r="AA291" s="7" t="n">
        <v>0</v>
      </c>
      <c r="AB291" s="7" t="n">
        <v>0.00173991621764183</v>
      </c>
    </row>
    <row r="292" customFormat="false" ht="15" hidden="false" customHeight="false" outlineLevel="0" collapsed="false">
      <c r="A292" s="4" t="s">
        <v>285</v>
      </c>
      <c r="B292" s="4" t="s">
        <v>286</v>
      </c>
      <c r="C292" s="4" t="s">
        <v>101</v>
      </c>
      <c r="D292" s="4" t="s">
        <v>69</v>
      </c>
      <c r="E292" s="4" t="s">
        <v>93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</row>
    <row r="293" customFormat="false" ht="15" hidden="false" customHeight="false" outlineLevel="0" collapsed="false">
      <c r="A293" s="4" t="s">
        <v>287</v>
      </c>
      <c r="B293" s="4" t="s">
        <v>288</v>
      </c>
      <c r="C293" s="4" t="s">
        <v>104</v>
      </c>
      <c r="D293" s="4" t="s">
        <v>41</v>
      </c>
      <c r="E293" s="4" t="s">
        <v>91</v>
      </c>
      <c r="F293" s="7" t="n">
        <v>10.9031666229248</v>
      </c>
      <c r="G293" s="7" t="n">
        <v>89.2338095556761</v>
      </c>
      <c r="H293" s="7" t="n">
        <v>27.1868265258789</v>
      </c>
      <c r="I293" s="7" t="n">
        <v>142.473308108521</v>
      </c>
      <c r="J293" s="7" t="n">
        <v>25.5913161590576</v>
      </c>
      <c r="K293" s="7" t="n">
        <v>82.4251472357896</v>
      </c>
      <c r="L293" s="7" t="n">
        <v>119.021666884119</v>
      </c>
      <c r="M293" s="7" t="n">
        <v>68.553733694458</v>
      </c>
      <c r="N293" s="7" t="n">
        <v>72.618810266197</v>
      </c>
      <c r="O293" s="7" t="n">
        <v>141.384831631183</v>
      </c>
      <c r="P293" s="7" t="n">
        <v>108.306620892334</v>
      </c>
      <c r="Q293" s="7" t="n">
        <v>37.2966567352295</v>
      </c>
      <c r="R293" s="7" t="n">
        <v>21.6532092773438</v>
      </c>
      <c r="S293" s="7" t="n">
        <v>42.4441111681411</v>
      </c>
      <c r="T293" s="7" t="n">
        <v>36.5892306949271</v>
      </c>
      <c r="U293" s="7" t="n">
        <v>247.479911500926</v>
      </c>
      <c r="V293" s="7" t="n">
        <v>243.077956468027</v>
      </c>
      <c r="W293" s="7" t="n">
        <v>128.624581134656</v>
      </c>
      <c r="X293" s="7" t="n">
        <v>126.749246078443</v>
      </c>
      <c r="Y293" s="7" t="n">
        <v>82.7590708410166</v>
      </c>
      <c r="Z293" s="7" t="n">
        <v>72.2134958862305</v>
      </c>
      <c r="AA293" s="7" t="n">
        <v>98.1289360998536</v>
      </c>
      <c r="AB293" s="7" t="n">
        <v>282.528606649494</v>
      </c>
    </row>
    <row r="294" customFormat="false" ht="15" hidden="false" customHeight="false" outlineLevel="0" collapsed="false">
      <c r="A294" s="4" t="s">
        <v>287</v>
      </c>
      <c r="B294" s="4" t="s">
        <v>288</v>
      </c>
      <c r="C294" s="4" t="s">
        <v>104</v>
      </c>
      <c r="D294" s="4" t="s">
        <v>41</v>
      </c>
      <c r="E294" s="4" t="s">
        <v>92</v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89.2651987915039</v>
      </c>
      <c r="R294" s="7" t="n">
        <v>63.1013668365479</v>
      </c>
      <c r="S294" s="7" t="n">
        <v>133.96539379975</v>
      </c>
      <c r="T294" s="7" t="n">
        <v>86.2183861675427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</row>
    <row r="295" customFormat="false" ht="15" hidden="false" customHeight="false" outlineLevel="0" collapsed="false">
      <c r="A295" s="4" t="s">
        <v>287</v>
      </c>
      <c r="B295" s="4" t="s">
        <v>288</v>
      </c>
      <c r="C295" s="4" t="s">
        <v>104</v>
      </c>
      <c r="D295" s="4" t="s">
        <v>41</v>
      </c>
      <c r="E295" s="4" t="s">
        <v>93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</row>
    <row r="296" customFormat="false" ht="15" hidden="false" customHeight="false" outlineLevel="0" collapsed="false">
      <c r="A296" s="4" t="s">
        <v>289</v>
      </c>
      <c r="B296" s="4" t="s">
        <v>290</v>
      </c>
      <c r="C296" s="4" t="s">
        <v>104</v>
      </c>
      <c r="D296" s="4" t="s">
        <v>41</v>
      </c>
      <c r="E296" s="4" t="s">
        <v>91</v>
      </c>
      <c r="F296" s="7" t="n">
        <v>6.5517363276783</v>
      </c>
      <c r="G296" s="7" t="n">
        <v>2.15129371753931</v>
      </c>
      <c r="H296" s="7" t="n">
        <v>2.00563885498047</v>
      </c>
      <c r="I296" s="7" t="n">
        <v>2.2015759634938</v>
      </c>
      <c r="J296" s="7" t="n">
        <v>2.16242089487113</v>
      </c>
      <c r="K296" s="7" t="n">
        <v>9.15015382432183</v>
      </c>
      <c r="L296" s="7" t="n">
        <v>4.72734309411143</v>
      </c>
      <c r="M296" s="7" t="n">
        <v>4.60310255082673</v>
      </c>
      <c r="N296" s="7" t="n">
        <v>4.57119034635656</v>
      </c>
      <c r="O296" s="7" t="n">
        <v>12.0473141216562</v>
      </c>
      <c r="P296" s="7" t="n">
        <v>8.63568608093262</v>
      </c>
      <c r="Q296" s="7" t="n">
        <v>7.79933958503274</v>
      </c>
      <c r="R296" s="7" t="n">
        <v>1.17264071479349</v>
      </c>
      <c r="S296" s="7" t="n">
        <v>2.68645997619629</v>
      </c>
      <c r="T296" s="7" t="n">
        <v>3.75827904968262</v>
      </c>
      <c r="U296" s="7" t="n">
        <v>4.20539183319623</v>
      </c>
      <c r="V296" s="7" t="n">
        <v>8.46748515530455</v>
      </c>
      <c r="W296" s="7" t="n">
        <v>3.9744909155787</v>
      </c>
      <c r="X296" s="7" t="n">
        <v>1.58831823245778</v>
      </c>
      <c r="Y296" s="7" t="n">
        <v>0</v>
      </c>
      <c r="Z296" s="7" t="n">
        <v>0</v>
      </c>
      <c r="AA296" s="7" t="n">
        <v>0</v>
      </c>
      <c r="AB296" s="7" t="n">
        <v>0</v>
      </c>
    </row>
    <row r="297" customFormat="false" ht="15" hidden="false" customHeight="false" outlineLevel="0" collapsed="false">
      <c r="A297" s="4" t="s">
        <v>289</v>
      </c>
      <c r="B297" s="4" t="s">
        <v>290</v>
      </c>
      <c r="C297" s="4" t="s">
        <v>104</v>
      </c>
      <c r="D297" s="4" t="s">
        <v>41</v>
      </c>
      <c r="E297" s="4" t="s">
        <v>92</v>
      </c>
      <c r="F297" s="7" t="n">
        <v>0.713529703205487</v>
      </c>
      <c r="G297" s="7" t="n">
        <v>1.41029854583577</v>
      </c>
      <c r="H297" s="7" t="n">
        <v>1.65070364685059</v>
      </c>
      <c r="I297" s="7" t="n">
        <v>2.25756319580078</v>
      </c>
      <c r="J297" s="7" t="n">
        <v>0</v>
      </c>
      <c r="K297" s="7" t="n">
        <v>0.404178917987739</v>
      </c>
      <c r="L297" s="7" t="n">
        <v>0</v>
      </c>
      <c r="M297" s="7" t="n">
        <v>7.68325756713867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3.10564794616699</v>
      </c>
      <c r="S297" s="7" t="n">
        <v>2.53048525565353</v>
      </c>
      <c r="T297" s="7" t="n">
        <v>2.15505667419434</v>
      </c>
      <c r="U297" s="7" t="n">
        <v>2.31270862309542</v>
      </c>
      <c r="V297" s="7" t="n">
        <v>3.4682780255845</v>
      </c>
      <c r="W297" s="7" t="n">
        <v>0.978697167307048</v>
      </c>
      <c r="X297" s="7" t="n">
        <v>1.83902782449161</v>
      </c>
      <c r="Y297" s="7" t="n">
        <v>4.3134477935791</v>
      </c>
      <c r="Z297" s="7" t="n">
        <v>4.16528233032227</v>
      </c>
      <c r="AA297" s="7" t="n">
        <v>1.20347627258301</v>
      </c>
      <c r="AB297" s="7" t="n">
        <v>3.25535449561026</v>
      </c>
    </row>
    <row r="298" customFormat="false" ht="15" hidden="false" customHeight="false" outlineLevel="0" collapsed="false">
      <c r="A298" s="4" t="s">
        <v>289</v>
      </c>
      <c r="B298" s="4" t="s">
        <v>290</v>
      </c>
      <c r="C298" s="4" t="s">
        <v>104</v>
      </c>
      <c r="D298" s="4" t="s">
        <v>41</v>
      </c>
      <c r="E298" s="4" t="s">
        <v>93</v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</row>
    <row r="299" customFormat="false" ht="15" hidden="false" customHeight="false" outlineLevel="0" collapsed="false">
      <c r="A299" s="4" t="s">
        <v>291</v>
      </c>
      <c r="B299" s="4" t="s">
        <v>292</v>
      </c>
      <c r="C299" s="4" t="s">
        <v>104</v>
      </c>
      <c r="D299" s="4" t="s">
        <v>41</v>
      </c>
      <c r="E299" s="4" t="s">
        <v>91</v>
      </c>
      <c r="F299" s="7" t="n">
        <v>157.855605147318</v>
      </c>
      <c r="G299" s="7" t="n">
        <v>128.889918968974</v>
      </c>
      <c r="H299" s="7" t="n">
        <v>53.3432306916884</v>
      </c>
      <c r="I299" s="7" t="n">
        <v>126.504674991329</v>
      </c>
      <c r="J299" s="7" t="n">
        <v>216.599824308198</v>
      </c>
      <c r="K299" s="7" t="n">
        <v>28.550360949707</v>
      </c>
      <c r="L299" s="7" t="n">
        <v>38.3615340148926</v>
      </c>
      <c r="M299" s="7" t="n">
        <v>46.24197371521</v>
      </c>
      <c r="N299" s="7" t="n">
        <v>207.95342722726</v>
      </c>
      <c r="O299" s="7" t="n">
        <v>192.246798812558</v>
      </c>
      <c r="P299" s="7" t="n">
        <v>298.891010313349</v>
      </c>
      <c r="Q299" s="7" t="n">
        <v>243.194381929354</v>
      </c>
      <c r="R299" s="7" t="n">
        <v>141.727590922532</v>
      </c>
      <c r="S299" s="7" t="n">
        <v>346.078208785586</v>
      </c>
      <c r="T299" s="7" t="n">
        <v>338.707985017504</v>
      </c>
      <c r="U299" s="7" t="n">
        <v>514.150776267532</v>
      </c>
      <c r="V299" s="7" t="n">
        <v>443.715613061498</v>
      </c>
      <c r="W299" s="7" t="n">
        <v>418.714895761856</v>
      </c>
      <c r="X299" s="7" t="n">
        <v>248.793655847427</v>
      </c>
      <c r="Y299" s="7" t="n">
        <v>155.150309088463</v>
      </c>
      <c r="Z299" s="7" t="n">
        <v>0</v>
      </c>
      <c r="AA299" s="7" t="n">
        <v>125.26465254127</v>
      </c>
      <c r="AB299" s="7" t="n">
        <v>130.471197275549</v>
      </c>
    </row>
    <row r="300" customFormat="false" ht="15" hidden="false" customHeight="false" outlineLevel="0" collapsed="false">
      <c r="A300" s="4" t="s">
        <v>291</v>
      </c>
      <c r="B300" s="4" t="s">
        <v>292</v>
      </c>
      <c r="C300" s="4" t="s">
        <v>104</v>
      </c>
      <c r="D300" s="4" t="s">
        <v>41</v>
      </c>
      <c r="E300" s="4" t="s">
        <v>92</v>
      </c>
      <c r="F300" s="7" t="n">
        <v>36.5580082243833</v>
      </c>
      <c r="G300" s="7" t="n">
        <v>16.7426221054206</v>
      </c>
      <c r="H300" s="7" t="n">
        <v>4.24487158680248</v>
      </c>
      <c r="I300" s="7" t="n">
        <v>13.1315162980526</v>
      </c>
      <c r="J300" s="7" t="n">
        <v>58.0003136424381</v>
      </c>
      <c r="K300" s="7" t="n">
        <v>173.500996048059</v>
      </c>
      <c r="L300" s="7" t="n">
        <v>0</v>
      </c>
      <c r="M300" s="7" t="n">
        <v>84.1106694354457</v>
      </c>
      <c r="N300" s="7" t="n">
        <v>46.7584737108901</v>
      </c>
      <c r="O300" s="7" t="n">
        <v>211.310020136822</v>
      </c>
      <c r="P300" s="7" t="n">
        <v>41.9919732303731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16.5940439804813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99.1419970452138</v>
      </c>
      <c r="AA300" s="7" t="n">
        <v>0</v>
      </c>
      <c r="AB300" s="7" t="n">
        <v>19.3650533146402</v>
      </c>
    </row>
    <row r="301" customFormat="false" ht="15" hidden="false" customHeight="false" outlineLevel="0" collapsed="false">
      <c r="A301" s="4" t="s">
        <v>291</v>
      </c>
      <c r="B301" s="4" t="s">
        <v>292</v>
      </c>
      <c r="C301" s="4" t="s">
        <v>104</v>
      </c>
      <c r="D301" s="4" t="s">
        <v>41</v>
      </c>
      <c r="E301" s="4" t="s">
        <v>93</v>
      </c>
      <c r="F301" s="7" t="n">
        <v>657</v>
      </c>
      <c r="G301" s="7" t="n">
        <v>657</v>
      </c>
      <c r="H301" s="7" t="n">
        <v>657</v>
      </c>
      <c r="I301" s="7" t="n">
        <v>657</v>
      </c>
      <c r="J301" s="7" t="n">
        <v>657</v>
      </c>
      <c r="K301" s="7" t="n">
        <v>657</v>
      </c>
      <c r="L301" s="7" t="n">
        <v>657</v>
      </c>
      <c r="M301" s="7" t="n">
        <v>831.333333333333</v>
      </c>
      <c r="N301" s="7" t="n">
        <v>1005.66666666667</v>
      </c>
      <c r="O301" s="7" t="n">
        <v>1180</v>
      </c>
      <c r="P301" s="7" t="n">
        <v>1180</v>
      </c>
      <c r="Q301" s="7" t="n">
        <v>1180</v>
      </c>
      <c r="R301" s="7" t="n">
        <v>1180</v>
      </c>
      <c r="S301" s="7" t="n">
        <v>1180</v>
      </c>
      <c r="T301" s="7" t="n">
        <v>1180</v>
      </c>
      <c r="U301" s="7" t="n">
        <v>1180</v>
      </c>
      <c r="V301" s="7" t="n">
        <v>1180</v>
      </c>
      <c r="W301" s="7" t="n">
        <v>1180</v>
      </c>
      <c r="X301" s="7" t="n">
        <v>1180</v>
      </c>
      <c r="Y301" s="7" t="n">
        <v>1180</v>
      </c>
      <c r="Z301" s="7" t="n">
        <v>1180</v>
      </c>
      <c r="AA301" s="7" t="n">
        <v>1180</v>
      </c>
      <c r="AB301" s="7" t="n">
        <v>1180</v>
      </c>
    </row>
    <row r="302" customFormat="false" ht="15" hidden="false" customHeight="false" outlineLevel="0" collapsed="false">
      <c r="A302" s="4" t="s">
        <v>293</v>
      </c>
      <c r="B302" s="4" t="s">
        <v>294</v>
      </c>
      <c r="C302" s="4" t="s">
        <v>101</v>
      </c>
      <c r="D302" s="4" t="s">
        <v>55</v>
      </c>
      <c r="E302" s="4" t="s">
        <v>91</v>
      </c>
      <c r="F302" s="7" t="n">
        <v>129.737621343994</v>
      </c>
      <c r="G302" s="7" t="n">
        <v>264.288296987113</v>
      </c>
      <c r="H302" s="7" t="n">
        <v>128.728231054424</v>
      </c>
      <c r="I302" s="7" t="n">
        <v>174.092917661803</v>
      </c>
      <c r="J302" s="7" t="n">
        <v>114.766276757813</v>
      </c>
      <c r="K302" s="7" t="n">
        <v>189.376662794568</v>
      </c>
      <c r="L302" s="7" t="n">
        <v>172.165274936943</v>
      </c>
      <c r="M302" s="7" t="n">
        <v>280.018668807398</v>
      </c>
      <c r="N302" s="7" t="n">
        <v>120.949808426602</v>
      </c>
      <c r="O302" s="7" t="n">
        <v>146.536720143495</v>
      </c>
      <c r="P302" s="7" t="n">
        <v>359.183643211957</v>
      </c>
      <c r="Q302" s="7" t="n">
        <v>161.510438079834</v>
      </c>
      <c r="R302" s="7" t="n">
        <v>120.741013439733</v>
      </c>
      <c r="S302" s="7" t="n">
        <v>186.660960246322</v>
      </c>
      <c r="T302" s="7" t="n">
        <v>228.46930261905</v>
      </c>
      <c r="U302" s="7" t="n">
        <v>235.607367790863</v>
      </c>
      <c r="V302" s="7" t="n">
        <v>151.393057630256</v>
      </c>
      <c r="W302" s="7" t="n">
        <v>57.2696093328738</v>
      </c>
      <c r="X302" s="7" t="n">
        <v>25.6906688582596</v>
      </c>
      <c r="Y302" s="7" t="n">
        <v>0</v>
      </c>
      <c r="Z302" s="7" t="n">
        <v>0</v>
      </c>
      <c r="AA302" s="7" t="n">
        <v>10.7125828480161</v>
      </c>
      <c r="AB302" s="7" t="n">
        <v>6.19667859538504</v>
      </c>
    </row>
    <row r="303" customFormat="false" ht="15" hidden="false" customHeight="false" outlineLevel="0" collapsed="false">
      <c r="A303" s="4" t="s">
        <v>293</v>
      </c>
      <c r="B303" s="4" t="s">
        <v>294</v>
      </c>
      <c r="C303" s="4" t="s">
        <v>101</v>
      </c>
      <c r="D303" s="4" t="s">
        <v>55</v>
      </c>
      <c r="E303" s="4" t="s">
        <v>92</v>
      </c>
      <c r="F303" s="7" t="n">
        <v>77.5894419042616</v>
      </c>
      <c r="G303" s="7" t="n">
        <v>25.1326915911944</v>
      </c>
      <c r="H303" s="7" t="n">
        <v>28.007649855437</v>
      </c>
      <c r="I303" s="7" t="n">
        <v>29.0484682422976</v>
      </c>
      <c r="J303" s="7" t="n">
        <v>30.8597755768276</v>
      </c>
      <c r="K303" s="7" t="n">
        <v>8.9040621082958</v>
      </c>
      <c r="L303" s="7" t="n">
        <v>22.4495371950039</v>
      </c>
      <c r="M303" s="7" t="n">
        <v>18.3400635225649</v>
      </c>
      <c r="N303" s="7" t="n">
        <v>2.87013825022279</v>
      </c>
      <c r="O303" s="7" t="n">
        <v>0.64002039805929</v>
      </c>
      <c r="P303" s="7" t="n">
        <v>30.5067382573155</v>
      </c>
      <c r="Q303" s="7" t="n">
        <v>21.2194649492371</v>
      </c>
      <c r="R303" s="7" t="n">
        <v>0.397867659780315</v>
      </c>
      <c r="S303" s="7" t="n">
        <v>0.529519349517898</v>
      </c>
      <c r="T303" s="7" t="n">
        <v>1.18468481389538</v>
      </c>
      <c r="U303" s="7" t="n">
        <v>12.361425989631</v>
      </c>
      <c r="V303" s="7" t="n">
        <v>9.48467873652432</v>
      </c>
      <c r="W303" s="7" t="n">
        <v>9.31411423421218</v>
      </c>
      <c r="X303" s="7" t="n">
        <v>6.89775923667858</v>
      </c>
      <c r="Y303" s="7" t="n">
        <v>6.27923032295402</v>
      </c>
      <c r="Z303" s="7" t="n">
        <v>5.25747086595383</v>
      </c>
      <c r="AA303" s="7" t="n">
        <v>0.846119020801161</v>
      </c>
      <c r="AB303" s="7" t="n">
        <v>1.26459991052414</v>
      </c>
    </row>
    <row r="304" customFormat="false" ht="15" hidden="false" customHeight="false" outlineLevel="0" collapsed="false">
      <c r="A304" s="4" t="s">
        <v>293</v>
      </c>
      <c r="B304" s="4" t="s">
        <v>294</v>
      </c>
      <c r="C304" s="4" t="s">
        <v>101</v>
      </c>
      <c r="D304" s="4" t="s">
        <v>55</v>
      </c>
      <c r="E304" s="4" t="s">
        <v>93</v>
      </c>
      <c r="F304" s="7" t="n">
        <v>27.3289801213876</v>
      </c>
      <c r="G304" s="7" t="n">
        <v>21.1211443707197</v>
      </c>
      <c r="H304" s="7" t="n">
        <v>20.8687345093666</v>
      </c>
      <c r="I304" s="7" t="n">
        <v>12.6937455333372</v>
      </c>
      <c r="J304" s="7" t="n">
        <v>13.9985369577043</v>
      </c>
      <c r="K304" s="7" t="n">
        <v>20.7767333628756</v>
      </c>
      <c r="L304" s="7" t="n">
        <v>11.8923278962972</v>
      </c>
      <c r="M304" s="7" t="n">
        <v>11.6947852284876</v>
      </c>
      <c r="N304" s="7" t="n">
        <v>5.69474304485458</v>
      </c>
      <c r="O304" s="7" t="n">
        <v>5.37005613913862</v>
      </c>
      <c r="P304" s="7" t="n">
        <v>34.7547523249599</v>
      </c>
      <c r="Q304" s="7" t="n">
        <v>13.9058084943664</v>
      </c>
      <c r="R304" s="7" t="n">
        <v>3.39918593539871</v>
      </c>
      <c r="S304" s="7" t="n">
        <v>1.64836398261527</v>
      </c>
      <c r="T304" s="7" t="n">
        <v>0.859413226425312</v>
      </c>
      <c r="U304" s="7" t="n">
        <v>3.4255349112479</v>
      </c>
      <c r="V304" s="7" t="n">
        <v>2.9295118945792</v>
      </c>
      <c r="W304" s="7" t="n">
        <v>3.63436265787766</v>
      </c>
      <c r="X304" s="7" t="n">
        <v>3.17667995399525</v>
      </c>
      <c r="Y304" s="7" t="n">
        <v>1.98683755424325</v>
      </c>
      <c r="Z304" s="7" t="n">
        <v>1.28429977613602</v>
      </c>
      <c r="AA304" s="7" t="n">
        <v>0.648739458087046</v>
      </c>
      <c r="AB304" s="7" t="n">
        <v>0.255138187206052</v>
      </c>
    </row>
    <row r="305" customFormat="false" ht="15" hidden="false" customHeight="false" outlineLevel="0" collapsed="false">
      <c r="A305" s="4" t="s">
        <v>295</v>
      </c>
      <c r="B305" s="4" t="s">
        <v>296</v>
      </c>
      <c r="C305" s="4" t="s">
        <v>104</v>
      </c>
      <c r="D305" s="4" t="s">
        <v>43</v>
      </c>
      <c r="E305" s="4" t="s">
        <v>91</v>
      </c>
      <c r="F305" s="7" t="n">
        <v>36.3742351078428</v>
      </c>
      <c r="G305" s="7" t="n">
        <v>46.5449578046253</v>
      </c>
      <c r="H305" s="7" t="n">
        <v>20.1962749328613</v>
      </c>
      <c r="I305" s="7" t="n">
        <v>52.2097877670947</v>
      </c>
      <c r="J305" s="7" t="n">
        <v>7.34616516113281</v>
      </c>
      <c r="K305" s="7" t="n">
        <v>4.04599478759766</v>
      </c>
      <c r="L305" s="7" t="n">
        <v>5.16172836914063</v>
      </c>
      <c r="M305" s="7" t="n">
        <v>8.22159032592773</v>
      </c>
      <c r="N305" s="7" t="n">
        <v>6.64130385131836</v>
      </c>
      <c r="O305" s="7" t="n">
        <v>6.00675986938477</v>
      </c>
      <c r="P305" s="7" t="n">
        <v>20.6128540039062</v>
      </c>
      <c r="Q305" s="7" t="n">
        <v>30.6495531772748</v>
      </c>
      <c r="R305" s="7" t="n">
        <v>9.10268511962891</v>
      </c>
      <c r="S305" s="7" t="n">
        <v>33.507858001709</v>
      </c>
      <c r="T305" s="7" t="n">
        <v>1.15280711669922</v>
      </c>
      <c r="U305" s="7" t="n">
        <v>17.999084358724</v>
      </c>
      <c r="V305" s="7" t="n">
        <v>72.7121575807818</v>
      </c>
      <c r="W305" s="7" t="n">
        <v>44.7934458306047</v>
      </c>
      <c r="X305" s="7" t="n">
        <v>31.3862431889313</v>
      </c>
      <c r="Y305" s="7" t="n">
        <v>37.8673862132353</v>
      </c>
      <c r="Z305" s="7" t="n">
        <v>40.9585522580854</v>
      </c>
      <c r="AA305" s="7" t="n">
        <v>49.9166501116823</v>
      </c>
      <c r="AB305" s="7" t="n">
        <v>31.5691146362305</v>
      </c>
    </row>
    <row r="306" customFormat="false" ht="15" hidden="false" customHeight="false" outlineLevel="0" collapsed="false">
      <c r="A306" s="4" t="s">
        <v>295</v>
      </c>
      <c r="B306" s="4" t="s">
        <v>296</v>
      </c>
      <c r="C306" s="4" t="s">
        <v>104</v>
      </c>
      <c r="D306" s="4" t="s">
        <v>43</v>
      </c>
      <c r="E306" s="4" t="s">
        <v>92</v>
      </c>
      <c r="F306" s="7" t="n">
        <v>2.82523457285952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</row>
    <row r="307" customFormat="false" ht="15" hidden="false" customHeight="false" outlineLevel="0" collapsed="false">
      <c r="A307" s="4" t="s">
        <v>295</v>
      </c>
      <c r="B307" s="4" t="s">
        <v>296</v>
      </c>
      <c r="C307" s="4" t="s">
        <v>104</v>
      </c>
      <c r="D307" s="4" t="s">
        <v>43</v>
      </c>
      <c r="E307" s="4" t="s">
        <v>93</v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0</v>
      </c>
      <c r="L307" s="7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</row>
    <row r="308" customFormat="false" ht="15" hidden="false" customHeight="false" outlineLevel="0" collapsed="false">
      <c r="A308" s="4" t="s">
        <v>297</v>
      </c>
      <c r="B308" s="4" t="s">
        <v>298</v>
      </c>
      <c r="C308" s="4" t="s">
        <v>101</v>
      </c>
      <c r="D308" s="4" t="s">
        <v>61</v>
      </c>
      <c r="E308" s="4" t="s">
        <v>91</v>
      </c>
      <c r="F308" s="7" t="n">
        <v>7351.23992655408</v>
      </c>
      <c r="G308" s="7" t="n">
        <v>10280.5466739232</v>
      </c>
      <c r="H308" s="7" t="n">
        <v>11844.6983027227</v>
      </c>
      <c r="I308" s="7" t="n">
        <v>9155.51674910148</v>
      </c>
      <c r="J308" s="7" t="n">
        <v>7086.11331229984</v>
      </c>
      <c r="K308" s="7" t="n">
        <v>7592.95660216272</v>
      </c>
      <c r="L308" s="7" t="n">
        <v>10433.000145966</v>
      </c>
      <c r="M308" s="7" t="n">
        <v>8201.90075888626</v>
      </c>
      <c r="N308" s="7" t="n">
        <v>5036.90616242318</v>
      </c>
      <c r="O308" s="7" t="n">
        <v>1559.55358705684</v>
      </c>
      <c r="P308" s="7" t="n">
        <v>1899.14720062538</v>
      </c>
      <c r="Q308" s="7" t="n">
        <v>3441.1688800666</v>
      </c>
      <c r="R308" s="7" t="n">
        <v>3260.56895280544</v>
      </c>
      <c r="S308" s="7" t="n">
        <v>8827.36445859423</v>
      </c>
      <c r="T308" s="7" t="n">
        <v>10838.010731492</v>
      </c>
      <c r="U308" s="7" t="n">
        <v>15369.0898642027</v>
      </c>
      <c r="V308" s="7" t="n">
        <v>15817.9002099264</v>
      </c>
      <c r="W308" s="7" t="n">
        <v>16612.8162150155</v>
      </c>
      <c r="X308" s="7" t="n">
        <v>14677.2295125186</v>
      </c>
      <c r="Y308" s="7" t="n">
        <v>16614.4829579391</v>
      </c>
      <c r="Z308" s="7" t="n">
        <v>16605.5738730128</v>
      </c>
      <c r="AA308" s="7" t="n">
        <v>25220.6880292491</v>
      </c>
      <c r="AB308" s="7" t="n">
        <v>19480.2482867337</v>
      </c>
    </row>
    <row r="309" customFormat="false" ht="15" hidden="false" customHeight="false" outlineLevel="0" collapsed="false">
      <c r="A309" s="4" t="s">
        <v>297</v>
      </c>
      <c r="B309" s="4" t="s">
        <v>298</v>
      </c>
      <c r="C309" s="4" t="s">
        <v>101</v>
      </c>
      <c r="D309" s="4" t="s">
        <v>61</v>
      </c>
      <c r="E309" s="4" t="s">
        <v>92</v>
      </c>
      <c r="F309" s="7" t="n">
        <v>18932.138523134</v>
      </c>
      <c r="G309" s="7" t="n">
        <v>20199.2237707732</v>
      </c>
      <c r="H309" s="7" t="n">
        <v>22497.5893063851</v>
      </c>
      <c r="I309" s="7" t="n">
        <v>16548.8004132868</v>
      </c>
      <c r="J309" s="7" t="n">
        <v>25331.1593666666</v>
      </c>
      <c r="K309" s="7" t="n">
        <v>24981.4788162579</v>
      </c>
      <c r="L309" s="7" t="n">
        <v>35858.0365059812</v>
      </c>
      <c r="M309" s="7" t="n">
        <v>28573.7708072925</v>
      </c>
      <c r="N309" s="7" t="n">
        <v>19406.349397842</v>
      </c>
      <c r="O309" s="7" t="n">
        <v>4910.92446054301</v>
      </c>
      <c r="P309" s="7" t="n">
        <v>4140.53373957893</v>
      </c>
      <c r="Q309" s="7" t="n">
        <v>6566.83642381386</v>
      </c>
      <c r="R309" s="7" t="n">
        <v>5876.69386721943</v>
      </c>
      <c r="S309" s="7" t="n">
        <v>14702.9799048999</v>
      </c>
      <c r="T309" s="7" t="n">
        <v>15641.3929081171</v>
      </c>
      <c r="U309" s="7" t="n">
        <v>21167.7730593885</v>
      </c>
      <c r="V309" s="7" t="n">
        <v>17665.6323147555</v>
      </c>
      <c r="W309" s="7" t="n">
        <v>20388.3156707311</v>
      </c>
      <c r="X309" s="7" t="n">
        <v>20867.3747997983</v>
      </c>
      <c r="Y309" s="7" t="n">
        <v>25250.8165646623</v>
      </c>
      <c r="Z309" s="7" t="n">
        <v>25783.9372734647</v>
      </c>
      <c r="AA309" s="7" t="n">
        <v>33204.4360533218</v>
      </c>
      <c r="AB309" s="7" t="n">
        <v>28079.7299638163</v>
      </c>
    </row>
    <row r="310" customFormat="false" ht="15" hidden="false" customHeight="false" outlineLevel="0" collapsed="false">
      <c r="A310" s="4" t="s">
        <v>297</v>
      </c>
      <c r="B310" s="4" t="s">
        <v>298</v>
      </c>
      <c r="C310" s="4" t="s">
        <v>101</v>
      </c>
      <c r="D310" s="4" t="s">
        <v>61</v>
      </c>
      <c r="E310" s="4" t="s">
        <v>93</v>
      </c>
      <c r="F310" s="7" t="n">
        <v>1149.48945660738</v>
      </c>
      <c r="G310" s="7" t="n">
        <v>934.82524417315</v>
      </c>
      <c r="H310" s="7" t="n">
        <v>932.721683644363</v>
      </c>
      <c r="I310" s="7" t="n">
        <v>1172.65316579173</v>
      </c>
      <c r="J310" s="7" t="n">
        <v>1493.75258993544</v>
      </c>
      <c r="K310" s="7" t="n">
        <v>794.280650126403</v>
      </c>
      <c r="L310" s="7" t="n">
        <v>3214.55396406688</v>
      </c>
      <c r="M310" s="7" t="n">
        <v>1840.97702338474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</row>
    <row r="311" customFormat="false" ht="15" hidden="false" customHeight="false" outlineLevel="0" collapsed="false">
      <c r="A311" s="4" t="s">
        <v>299</v>
      </c>
      <c r="B311" s="4" t="s">
        <v>300</v>
      </c>
      <c r="C311" s="4" t="s">
        <v>99</v>
      </c>
      <c r="D311" s="4" t="s">
        <v>81</v>
      </c>
      <c r="E311" s="4" t="s">
        <v>91</v>
      </c>
      <c r="F311" s="7" t="n">
        <v>1.91160288085938</v>
      </c>
      <c r="G311" s="7" t="n">
        <v>0</v>
      </c>
      <c r="H311" s="7" t="n">
        <v>0</v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</row>
    <row r="312" customFormat="false" ht="15" hidden="false" customHeight="false" outlineLevel="0" collapsed="false">
      <c r="A312" s="4" t="s">
        <v>299</v>
      </c>
      <c r="B312" s="4" t="s">
        <v>300</v>
      </c>
      <c r="C312" s="4" t="s">
        <v>99</v>
      </c>
      <c r="D312" s="4" t="s">
        <v>81</v>
      </c>
      <c r="E312" s="4" t="s">
        <v>92</v>
      </c>
      <c r="F312" s="7" t="n">
        <v>0</v>
      </c>
      <c r="G312" s="7" t="n">
        <v>0.382565344238281</v>
      </c>
      <c r="H312" s="7" t="n">
        <v>1.07136170043945</v>
      </c>
      <c r="I312" s="7" t="n">
        <v>1.07194378051758</v>
      </c>
      <c r="J312" s="7" t="n">
        <v>2.22065603027344</v>
      </c>
      <c r="K312" s="7" t="n">
        <v>0</v>
      </c>
      <c r="L312" s="7" t="n">
        <v>2.14204359741211</v>
      </c>
      <c r="M312" s="7" t="n">
        <v>4.43609337158203</v>
      </c>
      <c r="N312" s="7" t="n">
        <v>2.21871708984375</v>
      </c>
      <c r="O312" s="7" t="n">
        <v>1.14664778375364</v>
      </c>
      <c r="P312" s="7" t="n">
        <v>2.83326099243164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0.803054224931392</v>
      </c>
    </row>
    <row r="313" customFormat="false" ht="15" hidden="false" customHeight="false" outlineLevel="0" collapsed="false">
      <c r="A313" s="4" t="s">
        <v>299</v>
      </c>
      <c r="B313" s="4" t="s">
        <v>300</v>
      </c>
      <c r="C313" s="4" t="s">
        <v>99</v>
      </c>
      <c r="D313" s="4" t="s">
        <v>81</v>
      </c>
      <c r="E313" s="4" t="s">
        <v>93</v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</row>
    <row r="314" customFormat="false" ht="15" hidden="false" customHeight="false" outlineLevel="0" collapsed="false">
      <c r="A314" s="4" t="s">
        <v>35</v>
      </c>
      <c r="B314" s="4" t="s">
        <v>301</v>
      </c>
      <c r="C314" s="4" t="s">
        <v>112</v>
      </c>
      <c r="D314" s="4" t="s">
        <v>35</v>
      </c>
      <c r="E314" s="4" t="s">
        <v>91</v>
      </c>
      <c r="F314" s="7" t="n">
        <v>103791.375201407</v>
      </c>
      <c r="G314" s="7" t="n">
        <v>102904.437434587</v>
      </c>
      <c r="H314" s="7" t="n">
        <v>102060.635053263</v>
      </c>
      <c r="I314" s="7" t="n">
        <v>135698</v>
      </c>
      <c r="J314" s="7" t="n">
        <v>49406.0836547659</v>
      </c>
      <c r="K314" s="7" t="n">
        <v>3838.23382583408</v>
      </c>
      <c r="L314" s="7" t="n">
        <v>6758.074371058</v>
      </c>
      <c r="M314" s="7" t="n">
        <v>7048.38551390132</v>
      </c>
      <c r="N314" s="7" t="n">
        <v>10412.5060297473</v>
      </c>
      <c r="O314" s="7" t="n">
        <v>6513.21299217838</v>
      </c>
      <c r="P314" s="7" t="n">
        <v>4552.7740290404</v>
      </c>
      <c r="Q314" s="7" t="n">
        <v>12598.4272987377</v>
      </c>
      <c r="R314" s="7" t="n">
        <v>8112.72367199893</v>
      </c>
      <c r="S314" s="7" t="n">
        <v>5908.58519116409</v>
      </c>
      <c r="T314" s="7" t="n">
        <v>4549.52106633634</v>
      </c>
      <c r="U314" s="7" t="n">
        <v>6647.98134920614</v>
      </c>
      <c r="V314" s="7" t="n">
        <v>203300</v>
      </c>
      <c r="W314" s="7" t="n">
        <v>186245.333333333</v>
      </c>
      <c r="X314" s="7" t="n">
        <v>208356.666666667</v>
      </c>
      <c r="Y314" s="7" t="n">
        <v>87.8637041687012</v>
      </c>
      <c r="Z314" s="7" t="n">
        <v>0</v>
      </c>
      <c r="AA314" s="7" t="n">
        <v>0</v>
      </c>
      <c r="AB314" s="7" t="n">
        <v>0</v>
      </c>
    </row>
    <row r="315" customFormat="false" ht="15" hidden="false" customHeight="false" outlineLevel="0" collapsed="false">
      <c r="A315" s="4" t="s">
        <v>35</v>
      </c>
      <c r="B315" s="4" t="s">
        <v>301</v>
      </c>
      <c r="C315" s="4" t="s">
        <v>112</v>
      </c>
      <c r="D315" s="4" t="s">
        <v>35</v>
      </c>
      <c r="E315" s="4" t="s">
        <v>92</v>
      </c>
      <c r="F315" s="7" t="n">
        <v>14906.080245412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76091.0862470219</v>
      </c>
      <c r="T315" s="7" t="n">
        <v>37003.0488338504</v>
      </c>
      <c r="U315" s="7" t="n">
        <v>70307.9173614607</v>
      </c>
      <c r="V315" s="7" t="n">
        <v>29644.658055751</v>
      </c>
      <c r="W315" s="7" t="n">
        <v>27156.2357424835</v>
      </c>
      <c r="X315" s="7" t="n">
        <v>22290.70853049</v>
      </c>
      <c r="Y315" s="7" t="n">
        <v>639.337442087592</v>
      </c>
      <c r="Z315" s="7" t="n">
        <v>11355.3831510085</v>
      </c>
      <c r="AA315" s="7" t="n">
        <v>86859.7165338449</v>
      </c>
      <c r="AB315" s="7" t="n">
        <v>32951.4790423137</v>
      </c>
    </row>
    <row r="316" customFormat="false" ht="15" hidden="false" customHeight="false" outlineLevel="0" collapsed="false">
      <c r="A316" s="4" t="s">
        <v>35</v>
      </c>
      <c r="B316" s="4" t="s">
        <v>301</v>
      </c>
      <c r="C316" s="4" t="s">
        <v>112</v>
      </c>
      <c r="D316" s="4" t="s">
        <v>35</v>
      </c>
      <c r="E316" s="4" t="s">
        <v>93</v>
      </c>
      <c r="F316" s="7" t="n">
        <v>1457.98563941974</v>
      </c>
      <c r="G316" s="7" t="n">
        <v>979.529663666853</v>
      </c>
      <c r="H316" s="7" t="n">
        <v>725.79498573795</v>
      </c>
      <c r="I316" s="7" t="n">
        <v>1156.78607825154</v>
      </c>
      <c r="J316" s="7" t="n">
        <v>1159.66947388091</v>
      </c>
      <c r="K316" s="7" t="n">
        <v>2111.68832026623</v>
      </c>
      <c r="L316" s="7" t="n">
        <v>2733</v>
      </c>
      <c r="M316" s="7" t="n">
        <v>2310.41088916198</v>
      </c>
      <c r="N316" s="7" t="n">
        <v>2727</v>
      </c>
      <c r="O316" s="7" t="n">
        <v>2724</v>
      </c>
      <c r="P316" s="7" t="n">
        <v>2437.18114420204</v>
      </c>
      <c r="Q316" s="7" t="n">
        <v>2724</v>
      </c>
      <c r="R316" s="7" t="n">
        <v>1816.00000000001</v>
      </c>
      <c r="S316" s="7" t="n">
        <v>908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</row>
    <row r="317" customFormat="false" ht="15" hidden="false" customHeight="false" outlineLevel="0" collapsed="false">
      <c r="A317" s="4" t="s">
        <v>302</v>
      </c>
      <c r="B317" s="4" t="s">
        <v>303</v>
      </c>
      <c r="C317" s="4" t="s">
        <v>104</v>
      </c>
      <c r="D317" s="4" t="s">
        <v>43</v>
      </c>
      <c r="E317" s="4" t="s">
        <v>91</v>
      </c>
      <c r="F317" s="7" t="n">
        <v>71.660776940918</v>
      </c>
      <c r="G317" s="7" t="n">
        <v>22.2918661804199</v>
      </c>
      <c r="H317" s="7" t="n">
        <v>4.21595396728516</v>
      </c>
      <c r="I317" s="7" t="n">
        <v>4.49939537590476</v>
      </c>
      <c r="J317" s="7" t="n">
        <v>5.47511794852463</v>
      </c>
      <c r="K317" s="7" t="n">
        <v>1.730667578125</v>
      </c>
      <c r="L317" s="7" t="n">
        <v>5.3045932434082</v>
      </c>
      <c r="M317" s="7" t="n">
        <v>7.49531078390683</v>
      </c>
      <c r="N317" s="7" t="n">
        <v>5.88085880737305</v>
      </c>
      <c r="O317" s="7" t="n">
        <v>5.47980422363281</v>
      </c>
      <c r="P317" s="7" t="n">
        <v>9.39495131225586</v>
      </c>
      <c r="Q317" s="7" t="n">
        <v>109.189894708539</v>
      </c>
      <c r="R317" s="7" t="n">
        <v>46.7265871213905</v>
      </c>
      <c r="S317" s="7" t="n">
        <v>55.2990896501479</v>
      </c>
      <c r="T317" s="7" t="n">
        <v>20.0451904724121</v>
      </c>
      <c r="U317" s="7" t="n">
        <v>52.5779034579073</v>
      </c>
      <c r="V317" s="7" t="n">
        <v>31.6861635253906</v>
      </c>
      <c r="W317" s="7" t="n">
        <v>51.7206829755716</v>
      </c>
      <c r="X317" s="7" t="n">
        <v>55.0112007365388</v>
      </c>
      <c r="Y317" s="7" t="n">
        <v>34.4623785691205</v>
      </c>
      <c r="Z317" s="7" t="n">
        <v>16.8252945274203</v>
      </c>
      <c r="AA317" s="7" t="n">
        <v>26.8791294616699</v>
      </c>
      <c r="AB317" s="7" t="n">
        <v>41.95210688242</v>
      </c>
    </row>
    <row r="318" customFormat="false" ht="15" hidden="false" customHeight="false" outlineLevel="0" collapsed="false">
      <c r="A318" s="4" t="s">
        <v>302</v>
      </c>
      <c r="B318" s="4" t="s">
        <v>303</v>
      </c>
      <c r="C318" s="4" t="s">
        <v>104</v>
      </c>
      <c r="D318" s="4" t="s">
        <v>43</v>
      </c>
      <c r="E318" s="4" t="s">
        <v>92</v>
      </c>
      <c r="F318" s="7" t="n">
        <v>95.302488838106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40.2279415338972</v>
      </c>
      <c r="M318" s="7" t="n">
        <v>62.6539310123459</v>
      </c>
      <c r="N318" s="7" t="n">
        <v>97.2748626831055</v>
      </c>
      <c r="O318" s="7" t="n">
        <v>57.8248196803194</v>
      </c>
      <c r="P318" s="7" t="n">
        <v>87.1780353055349</v>
      </c>
      <c r="Q318" s="7" t="n">
        <v>0</v>
      </c>
      <c r="R318" s="7" t="n">
        <v>0</v>
      </c>
      <c r="S318" s="7" t="n">
        <v>2.80027140942237</v>
      </c>
      <c r="T318" s="7" t="n">
        <v>0</v>
      </c>
      <c r="U318" s="7" t="n">
        <v>0.165637996500651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</row>
    <row r="319" customFormat="false" ht="15" hidden="false" customHeight="false" outlineLevel="0" collapsed="false">
      <c r="A319" s="4" t="s">
        <v>302</v>
      </c>
      <c r="B319" s="4" t="s">
        <v>303</v>
      </c>
      <c r="C319" s="4" t="s">
        <v>104</v>
      </c>
      <c r="D319" s="4" t="s">
        <v>43</v>
      </c>
      <c r="E319" s="4" t="s">
        <v>93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</row>
    <row r="320" customFormat="false" ht="15" hidden="false" customHeight="false" outlineLevel="0" collapsed="false">
      <c r="A320" s="4" t="s">
        <v>304</v>
      </c>
      <c r="B320" s="4" t="s">
        <v>305</v>
      </c>
      <c r="C320" s="4" t="s">
        <v>101</v>
      </c>
      <c r="D320" s="4" t="s">
        <v>57</v>
      </c>
      <c r="E320" s="4" t="s">
        <v>91</v>
      </c>
      <c r="F320" s="7" t="n">
        <v>72.4000656472473</v>
      </c>
      <c r="G320" s="7" t="n">
        <v>98.479628210591</v>
      </c>
      <c r="H320" s="7" t="n">
        <v>7.02491917724609</v>
      </c>
      <c r="I320" s="7" t="n">
        <v>173.155560576899</v>
      </c>
      <c r="J320" s="7" t="n">
        <v>138.621701690609</v>
      </c>
      <c r="K320" s="7" t="n">
        <v>164.84181829005</v>
      </c>
      <c r="L320" s="7" t="n">
        <v>155.527974941412</v>
      </c>
      <c r="M320" s="7" t="n">
        <v>154.630174531137</v>
      </c>
      <c r="N320" s="7" t="n">
        <v>287.267609610488</v>
      </c>
      <c r="O320" s="7" t="n">
        <v>86.7540215740502</v>
      </c>
      <c r="P320" s="7" t="n">
        <v>279.388457507802</v>
      </c>
      <c r="Q320" s="7" t="n">
        <v>207.181685700928</v>
      </c>
      <c r="R320" s="7" t="n">
        <v>952.717298640185</v>
      </c>
      <c r="S320" s="7" t="n">
        <v>449.00608464383</v>
      </c>
      <c r="T320" s="7" t="n">
        <v>261.982595093221</v>
      </c>
      <c r="U320" s="7" t="n">
        <v>263.782991099756</v>
      </c>
      <c r="V320" s="7" t="n">
        <v>245.263041811447</v>
      </c>
      <c r="W320" s="7" t="n">
        <v>156.175637970754</v>
      </c>
      <c r="X320" s="7" t="n">
        <v>138.118657532183</v>
      </c>
      <c r="Y320" s="7" t="n">
        <v>100.626128030451</v>
      </c>
      <c r="Z320" s="7" t="n">
        <v>55.3390510987737</v>
      </c>
      <c r="AA320" s="7" t="n">
        <v>40.3464514197612</v>
      </c>
      <c r="AB320" s="7" t="n">
        <v>154.726659934027</v>
      </c>
    </row>
    <row r="321" customFormat="false" ht="15" hidden="false" customHeight="false" outlineLevel="0" collapsed="false">
      <c r="A321" s="4" t="s">
        <v>304</v>
      </c>
      <c r="B321" s="4" t="s">
        <v>305</v>
      </c>
      <c r="C321" s="4" t="s">
        <v>101</v>
      </c>
      <c r="D321" s="4" t="s">
        <v>57</v>
      </c>
      <c r="E321" s="4" t="s">
        <v>92</v>
      </c>
      <c r="F321" s="7" t="n">
        <v>31.2092007648428</v>
      </c>
      <c r="G321" s="7" t="n">
        <v>12.3090897093308</v>
      </c>
      <c r="H321" s="7" t="n">
        <v>11.4225644798369</v>
      </c>
      <c r="I321" s="7" t="n">
        <v>8.43157899906191</v>
      </c>
      <c r="J321" s="7" t="n">
        <v>4.7284279617063</v>
      </c>
      <c r="K321" s="7" t="n">
        <v>6.64076414489432</v>
      </c>
      <c r="L321" s="7" t="n">
        <v>13.9230968818155</v>
      </c>
      <c r="M321" s="7" t="n">
        <v>6.61488325984559</v>
      </c>
      <c r="N321" s="7" t="n">
        <v>6.818501144624</v>
      </c>
      <c r="O321" s="7" t="n">
        <v>1.63572155339126</v>
      </c>
      <c r="P321" s="7" t="n">
        <v>2.6112313697254</v>
      </c>
      <c r="Q321" s="7" t="n">
        <v>1.01963051558695</v>
      </c>
      <c r="R321" s="7" t="n">
        <v>3.43708605478362</v>
      </c>
      <c r="S321" s="7" t="n">
        <v>3.88146649609154</v>
      </c>
      <c r="T321" s="7" t="n">
        <v>5.90029197118007</v>
      </c>
      <c r="U321" s="7" t="n">
        <v>16.4513061612258</v>
      </c>
      <c r="V321" s="7" t="n">
        <v>52.0404445595701</v>
      </c>
      <c r="W321" s="7" t="n">
        <v>60.8519060025631</v>
      </c>
      <c r="X321" s="7" t="n">
        <v>72.9165899030962</v>
      </c>
      <c r="Y321" s="7" t="n">
        <v>44.6272144604778</v>
      </c>
      <c r="Z321" s="7" t="n">
        <v>102.538036706067</v>
      </c>
      <c r="AA321" s="7" t="n">
        <v>147.640189537055</v>
      </c>
      <c r="AB321" s="7" t="n">
        <v>163.685442834336</v>
      </c>
    </row>
    <row r="322" customFormat="false" ht="15" hidden="false" customHeight="false" outlineLevel="0" collapsed="false">
      <c r="A322" s="4" t="s">
        <v>304</v>
      </c>
      <c r="B322" s="4" t="s">
        <v>305</v>
      </c>
      <c r="C322" s="4" t="s">
        <v>101</v>
      </c>
      <c r="D322" s="4" t="s">
        <v>57</v>
      </c>
      <c r="E322" s="4" t="s">
        <v>93</v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</row>
    <row r="323" customFormat="false" ht="15" hidden="false" customHeight="false" outlineLevel="0" collapsed="false">
      <c r="A323" s="4" t="s">
        <v>306</v>
      </c>
      <c r="B323" s="4" t="s">
        <v>307</v>
      </c>
      <c r="C323" s="4" t="s">
        <v>104</v>
      </c>
      <c r="D323" s="4" t="s">
        <v>41</v>
      </c>
      <c r="E323" s="4" t="s">
        <v>91</v>
      </c>
      <c r="F323" s="7" t="n">
        <v>0.776461657263918</v>
      </c>
      <c r="G323" s="7" t="n">
        <v>0</v>
      </c>
      <c r="H323" s="7" t="n">
        <v>0</v>
      </c>
      <c r="I323" s="7" t="n">
        <v>0</v>
      </c>
      <c r="J323" s="7" t="n">
        <v>0.221155958631972</v>
      </c>
      <c r="K323" s="7" t="n">
        <v>0.544770945265585</v>
      </c>
      <c r="L323" s="7" t="n">
        <v>0.625304544393767</v>
      </c>
      <c r="M323" s="7" t="n">
        <v>0.743562995618577</v>
      </c>
      <c r="N323" s="7" t="n">
        <v>1.41209589132131</v>
      </c>
      <c r="O323" s="7" t="n">
        <v>0</v>
      </c>
      <c r="P323" s="7" t="n">
        <v>0</v>
      </c>
      <c r="Q323" s="7" t="n">
        <v>0</v>
      </c>
      <c r="R323" s="7" t="n">
        <v>0.118890753094403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</row>
    <row r="324" customFormat="false" ht="15" hidden="false" customHeight="false" outlineLevel="0" collapsed="false">
      <c r="A324" s="4" t="s">
        <v>306</v>
      </c>
      <c r="B324" s="4" t="s">
        <v>307</v>
      </c>
      <c r="C324" s="4" t="s">
        <v>104</v>
      </c>
      <c r="D324" s="4" t="s">
        <v>41</v>
      </c>
      <c r="E324" s="4" t="s">
        <v>92</v>
      </c>
      <c r="F324" s="7" t="n">
        <v>0.125779700612729</v>
      </c>
      <c r="G324" s="7" t="n">
        <v>1.46329658509498</v>
      </c>
      <c r="H324" s="7" t="n">
        <v>0</v>
      </c>
      <c r="I324" s="7" t="n">
        <v>1.78504175809972</v>
      </c>
      <c r="J324" s="7" t="n">
        <v>0.0325946301777706</v>
      </c>
      <c r="K324" s="7" t="n">
        <v>0.0710642589269314</v>
      </c>
      <c r="L324" s="7" t="n">
        <v>0.000675063760529753</v>
      </c>
      <c r="M324" s="7" t="n">
        <v>0.000802904326850288</v>
      </c>
      <c r="N324" s="7" t="n">
        <v>0.0013092889837189</v>
      </c>
      <c r="O324" s="7" t="n">
        <v>0.440175414775774</v>
      </c>
      <c r="P324" s="7" t="n">
        <v>0.938508152501723</v>
      </c>
      <c r="Q324" s="7" t="n">
        <v>0.125202770996094</v>
      </c>
      <c r="R324" s="7" t="n">
        <v>0.000906719995718581</v>
      </c>
      <c r="S324" s="7" t="n">
        <v>0</v>
      </c>
      <c r="T324" s="7" t="n">
        <v>0</v>
      </c>
      <c r="U324" s="7" t="n">
        <v>0</v>
      </c>
      <c r="V324" s="7" t="n">
        <v>0.125192858886719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</row>
    <row r="325" customFormat="false" ht="15" hidden="false" customHeight="false" outlineLevel="0" collapsed="false">
      <c r="A325" s="4" t="s">
        <v>306</v>
      </c>
      <c r="B325" s="4" t="s">
        <v>307</v>
      </c>
      <c r="C325" s="4" t="s">
        <v>104</v>
      </c>
      <c r="D325" s="4" t="s">
        <v>41</v>
      </c>
      <c r="E325" s="4" t="s">
        <v>93</v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0.00541809697823781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</row>
    <row r="326" customFormat="false" ht="15" hidden="false" customHeight="false" outlineLevel="0" collapsed="false">
      <c r="A326" s="4" t="s">
        <v>308</v>
      </c>
      <c r="B326" s="4" t="s">
        <v>309</v>
      </c>
      <c r="C326" s="4" t="s">
        <v>146</v>
      </c>
      <c r="D326" s="4" t="s">
        <v>81</v>
      </c>
      <c r="E326" s="4" t="s">
        <v>91</v>
      </c>
      <c r="F326" s="7" t="n">
        <v>22829.7018450596</v>
      </c>
      <c r="G326" s="7" t="n">
        <v>42843.4537094744</v>
      </c>
      <c r="H326" s="7" t="n">
        <v>56737.9626745285</v>
      </c>
      <c r="I326" s="7" t="n">
        <v>80920.1137949743</v>
      </c>
      <c r="J326" s="7" t="n">
        <v>71459.4404403945</v>
      </c>
      <c r="K326" s="7" t="n">
        <v>98908.3767740091</v>
      </c>
      <c r="L326" s="7" t="n">
        <v>106817.015483208</v>
      </c>
      <c r="M326" s="7" t="n">
        <v>85260.0908038859</v>
      </c>
      <c r="N326" s="7" t="n">
        <v>41699.6388068871</v>
      </c>
      <c r="O326" s="7" t="n">
        <v>28771.3606270862</v>
      </c>
      <c r="P326" s="7" t="n">
        <v>34506.6106905422</v>
      </c>
      <c r="Q326" s="7" t="n">
        <v>80951.2166044851</v>
      </c>
      <c r="R326" s="7" t="n">
        <v>73472.9630987209</v>
      </c>
      <c r="S326" s="7" t="n">
        <v>126485</v>
      </c>
      <c r="T326" s="7" t="n">
        <v>102918.396631198</v>
      </c>
      <c r="U326" s="7" t="n">
        <v>69721.1674689515</v>
      </c>
      <c r="V326" s="7" t="n">
        <v>32388.5311663753</v>
      </c>
      <c r="W326" s="7" t="n">
        <v>18197.8105811143</v>
      </c>
      <c r="X326" s="7" t="n">
        <v>48430.8739023887</v>
      </c>
      <c r="Y326" s="7" t="n">
        <v>43603.4209151887</v>
      </c>
      <c r="Z326" s="7" t="n">
        <v>49673.3371182646</v>
      </c>
      <c r="AA326" s="7" t="n">
        <v>63389.4703742756</v>
      </c>
      <c r="AB326" s="7" t="n">
        <v>52222.0761359096</v>
      </c>
    </row>
    <row r="327" customFormat="false" ht="15" hidden="false" customHeight="false" outlineLevel="0" collapsed="false">
      <c r="A327" s="4" t="s">
        <v>308</v>
      </c>
      <c r="B327" s="4" t="s">
        <v>309</v>
      </c>
      <c r="C327" s="4" t="s">
        <v>146</v>
      </c>
      <c r="D327" s="4" t="s">
        <v>81</v>
      </c>
      <c r="E327" s="4" t="s">
        <v>92</v>
      </c>
      <c r="F327" s="7" t="n">
        <v>15576.3584846677</v>
      </c>
      <c r="G327" s="7" t="n">
        <v>14327.2310665755</v>
      </c>
      <c r="H327" s="7" t="n">
        <v>9784.22452520012</v>
      </c>
      <c r="I327" s="7" t="n">
        <v>7692.55606157165</v>
      </c>
      <c r="J327" s="7" t="n">
        <v>2778.72366747072</v>
      </c>
      <c r="K327" s="7" t="n">
        <v>4501.34504238435</v>
      </c>
      <c r="L327" s="7" t="n">
        <v>8274.20253228853</v>
      </c>
      <c r="M327" s="7" t="n">
        <v>11198.7864771049</v>
      </c>
      <c r="N327" s="7" t="n">
        <v>17395.20234488</v>
      </c>
      <c r="O327" s="7" t="n">
        <v>14771.5735146189</v>
      </c>
      <c r="P327" s="7" t="n">
        <v>11852.849483211</v>
      </c>
      <c r="Q327" s="7" t="n">
        <v>8773.01447472143</v>
      </c>
      <c r="R327" s="7" t="n">
        <v>5621.366014982</v>
      </c>
      <c r="S327" s="7" t="n">
        <v>80332.397981123</v>
      </c>
      <c r="T327" s="7" t="n">
        <v>81836.176937629</v>
      </c>
      <c r="U327" s="7" t="n">
        <v>89180.7780706302</v>
      </c>
      <c r="V327" s="7" t="n">
        <v>29360.3445506125</v>
      </c>
      <c r="W327" s="7" t="n">
        <v>30581.5779867694</v>
      </c>
      <c r="X327" s="7" t="n">
        <v>28571.0872254686</v>
      </c>
      <c r="Y327" s="7" t="n">
        <v>22267.7409335577</v>
      </c>
      <c r="Z327" s="7" t="n">
        <v>22796.4101335181</v>
      </c>
      <c r="AA327" s="7" t="n">
        <v>32710.7964925275</v>
      </c>
      <c r="AB327" s="7" t="n">
        <v>25924.9825198678</v>
      </c>
    </row>
    <row r="328" customFormat="false" ht="15" hidden="false" customHeight="false" outlineLevel="0" collapsed="false">
      <c r="A328" s="4" t="s">
        <v>308</v>
      </c>
      <c r="B328" s="4" t="s">
        <v>309</v>
      </c>
      <c r="C328" s="4" t="s">
        <v>146</v>
      </c>
      <c r="D328" s="4" t="s">
        <v>81</v>
      </c>
      <c r="E328" s="4" t="s">
        <v>93</v>
      </c>
      <c r="F328" s="7" t="n">
        <v>571.598119270287</v>
      </c>
      <c r="G328" s="7" t="n">
        <v>674.479659514191</v>
      </c>
      <c r="H328" s="7" t="n">
        <v>690.481786310216</v>
      </c>
      <c r="I328" s="7" t="n">
        <v>891.486872625687</v>
      </c>
      <c r="J328" s="7" t="n">
        <v>684.713009006565</v>
      </c>
      <c r="K328" s="7" t="n">
        <v>1226.00371837193</v>
      </c>
      <c r="L328" s="7" t="n">
        <v>1097.61170580709</v>
      </c>
      <c r="M328" s="7" t="n">
        <v>1081.8994511089</v>
      </c>
      <c r="N328" s="7" t="n">
        <v>2269.86239454911</v>
      </c>
      <c r="O328" s="7" t="n">
        <v>2935.68377884703</v>
      </c>
      <c r="P328" s="7" t="n">
        <v>1235.1635273308</v>
      </c>
      <c r="Q328" s="7" t="n">
        <v>2837.89687565928</v>
      </c>
      <c r="R328" s="7" t="n">
        <v>3238.75875400753</v>
      </c>
      <c r="S328" s="7" t="n">
        <v>3581.01286844829</v>
      </c>
      <c r="T328" s="7" t="n">
        <v>4605.70251413973</v>
      </c>
      <c r="U328" s="7" t="n">
        <v>2903.33333333333</v>
      </c>
      <c r="V328" s="7" t="n">
        <v>68.0284315429688</v>
      </c>
      <c r="W328" s="7" t="n">
        <v>96.8437818481445</v>
      </c>
      <c r="X328" s="7" t="n">
        <v>85.1768750488281</v>
      </c>
      <c r="Y328" s="7" t="n">
        <v>82.6073921144732</v>
      </c>
      <c r="Z328" s="7" t="n">
        <v>59.9881870178223</v>
      </c>
      <c r="AA328" s="7" t="n">
        <v>42.8689114318848</v>
      </c>
      <c r="AB328" s="7" t="n">
        <v>56.5719844177246</v>
      </c>
    </row>
    <row r="329" customFormat="false" ht="15" hidden="false" customHeight="false" outlineLevel="0" collapsed="false">
      <c r="A329" s="4" t="s">
        <v>310</v>
      </c>
      <c r="B329" s="4" t="s">
        <v>311</v>
      </c>
      <c r="C329" s="4" t="s">
        <v>104</v>
      </c>
      <c r="D329" s="4" t="s">
        <v>43</v>
      </c>
      <c r="E329" s="4" t="s">
        <v>91</v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18.8694372929883</v>
      </c>
      <c r="L329" s="7" t="n">
        <v>68.8060465018661</v>
      </c>
      <c r="M329" s="7" t="n">
        <v>149.896943341469</v>
      </c>
      <c r="N329" s="7" t="n">
        <v>73.5197410015271</v>
      </c>
      <c r="O329" s="7" t="n">
        <v>0.800315966796875</v>
      </c>
      <c r="P329" s="7" t="n">
        <v>0.800559246826172</v>
      </c>
      <c r="Q329" s="7" t="n">
        <v>1.77561956787109</v>
      </c>
      <c r="R329" s="7" t="n">
        <v>6.33062242479049</v>
      </c>
      <c r="S329" s="7" t="n">
        <v>4.30201510100671</v>
      </c>
      <c r="T329" s="7" t="n">
        <v>1.1947503358875</v>
      </c>
      <c r="U329" s="7" t="n">
        <v>16.3143606668933</v>
      </c>
      <c r="V329" s="7" t="n">
        <v>34.2627011860521</v>
      </c>
      <c r="W329" s="7" t="n">
        <v>64.6666666666667</v>
      </c>
      <c r="X329" s="7" t="n">
        <v>23.3688017822266</v>
      </c>
      <c r="Y329" s="7" t="n">
        <v>5.54908681353206</v>
      </c>
      <c r="Z329" s="7" t="n">
        <v>1.52264768437459</v>
      </c>
      <c r="AA329" s="7" t="n">
        <v>3.57291205146506</v>
      </c>
      <c r="AB329" s="7" t="n">
        <v>6.47562099908716</v>
      </c>
    </row>
    <row r="330" customFormat="false" ht="15" hidden="false" customHeight="false" outlineLevel="0" collapsed="false">
      <c r="A330" s="4" t="s">
        <v>310</v>
      </c>
      <c r="B330" s="4" t="s">
        <v>311</v>
      </c>
      <c r="C330" s="4" t="s">
        <v>104</v>
      </c>
      <c r="D330" s="4" t="s">
        <v>43</v>
      </c>
      <c r="E330" s="4" t="s">
        <v>92</v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7.79556761165321</v>
      </c>
      <c r="L330" s="7" t="n">
        <v>32.5905402900543</v>
      </c>
      <c r="M330" s="7" t="n">
        <v>29.4960388365286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74.2303579218892</v>
      </c>
      <c r="S330" s="7" t="n">
        <v>65.2787027585742</v>
      </c>
      <c r="T330" s="7" t="n">
        <v>13.2328979856457</v>
      </c>
      <c r="U330" s="7" t="n">
        <v>51.1850504995005</v>
      </c>
      <c r="V330" s="7" t="n">
        <v>13.4882477458326</v>
      </c>
      <c r="W330" s="7" t="n">
        <v>7.45667895497593</v>
      </c>
      <c r="X330" s="7" t="n">
        <v>0</v>
      </c>
      <c r="Y330" s="7" t="n">
        <v>45.7074813088829</v>
      </c>
      <c r="Z330" s="7" t="n">
        <v>13.9402121850102</v>
      </c>
      <c r="AA330" s="7" t="n">
        <v>23.1133714885979</v>
      </c>
      <c r="AB330" s="7" t="n">
        <v>46.7569707977878</v>
      </c>
    </row>
    <row r="331" customFormat="false" ht="15" hidden="false" customHeight="false" outlineLevel="0" collapsed="false">
      <c r="A331" s="4" t="s">
        <v>310</v>
      </c>
      <c r="B331" s="4" t="s">
        <v>311</v>
      </c>
      <c r="C331" s="4" t="s">
        <v>104</v>
      </c>
      <c r="D331" s="4" t="s">
        <v>43</v>
      </c>
      <c r="E331" s="4" t="s">
        <v>93</v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</row>
    <row r="332" customFormat="false" ht="15" hidden="false" customHeight="false" outlineLevel="0" collapsed="false">
      <c r="A332" s="4" t="s">
        <v>312</v>
      </c>
      <c r="B332" s="4" t="s">
        <v>313</v>
      </c>
      <c r="C332" s="4" t="s">
        <v>158</v>
      </c>
      <c r="D332" s="4" t="s">
        <v>81</v>
      </c>
      <c r="E332" s="4" t="s">
        <v>91</v>
      </c>
      <c r="F332" s="7" t="n">
        <v>541.307353018945</v>
      </c>
      <c r="G332" s="7" t="n">
        <v>357.273675545082</v>
      </c>
      <c r="H332" s="7" t="n">
        <v>0</v>
      </c>
      <c r="I332" s="7" t="n">
        <v>0</v>
      </c>
      <c r="J332" s="7" t="n">
        <v>3.27411230829667</v>
      </c>
      <c r="K332" s="7" t="n">
        <v>223.840382579363</v>
      </c>
      <c r="L332" s="7" t="n">
        <v>236.04941670038</v>
      </c>
      <c r="M332" s="7" t="n">
        <v>215.652342861986</v>
      </c>
      <c r="N332" s="7" t="n">
        <v>95.935394964456</v>
      </c>
      <c r="O332" s="7" t="n">
        <v>144.544068588245</v>
      </c>
      <c r="P332" s="7" t="n">
        <v>134.495927418201</v>
      </c>
      <c r="Q332" s="7" t="n">
        <v>300.716982800018</v>
      </c>
      <c r="R332" s="7" t="n">
        <v>47.5436321777344</v>
      </c>
      <c r="S332" s="7" t="n">
        <v>32.1938557678223</v>
      </c>
      <c r="T332" s="7" t="n">
        <v>4.37254841639395</v>
      </c>
      <c r="U332" s="7" t="n">
        <v>0.0500855041503906</v>
      </c>
      <c r="V332" s="7" t="n">
        <v>4.16241496276856</v>
      </c>
      <c r="W332" s="7" t="n">
        <v>0.479343774414063</v>
      </c>
      <c r="X332" s="7" t="n">
        <v>18.4232549560547</v>
      </c>
      <c r="Y332" s="7" t="n">
        <v>11.4644155548096</v>
      </c>
      <c r="Z332" s="7" t="n">
        <v>4.90894112548828</v>
      </c>
      <c r="AA332" s="7" t="n">
        <v>7.00075335083008</v>
      </c>
      <c r="AB332" s="7" t="n">
        <v>2.21782894788555</v>
      </c>
    </row>
    <row r="333" customFormat="false" ht="15" hidden="false" customHeight="false" outlineLevel="0" collapsed="false">
      <c r="A333" s="4" t="s">
        <v>312</v>
      </c>
      <c r="B333" s="4" t="s">
        <v>313</v>
      </c>
      <c r="C333" s="4" t="s">
        <v>158</v>
      </c>
      <c r="D333" s="4" t="s">
        <v>81</v>
      </c>
      <c r="E333" s="4" t="s">
        <v>92</v>
      </c>
      <c r="F333" s="7" t="n">
        <v>0</v>
      </c>
      <c r="G333" s="7" t="n">
        <v>0</v>
      </c>
      <c r="H333" s="7" t="n">
        <v>97.5536750004159</v>
      </c>
      <c r="I333" s="7" t="n">
        <v>136.722457828469</v>
      </c>
      <c r="J333" s="7" t="n">
        <v>178.612319013486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17.5542980074647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</row>
    <row r="334" customFormat="false" ht="15" hidden="false" customHeight="false" outlineLevel="0" collapsed="false">
      <c r="A334" s="4" t="s">
        <v>312</v>
      </c>
      <c r="B334" s="4" t="s">
        <v>313</v>
      </c>
      <c r="C334" s="4" t="s">
        <v>158</v>
      </c>
      <c r="D334" s="4" t="s">
        <v>81</v>
      </c>
      <c r="E334" s="4" t="s">
        <v>93</v>
      </c>
      <c r="F334" s="7" t="n">
        <v>109</v>
      </c>
      <c r="G334" s="7" t="n">
        <v>109</v>
      </c>
      <c r="H334" s="7" t="n">
        <v>109</v>
      </c>
      <c r="I334" s="7" t="n">
        <v>109</v>
      </c>
      <c r="J334" s="7" t="n">
        <v>109</v>
      </c>
      <c r="K334" s="7" t="n">
        <v>109</v>
      </c>
      <c r="L334" s="7" t="n">
        <v>109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6.89264100316172</v>
      </c>
      <c r="U334" s="7" t="n">
        <v>75.0738417005838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</row>
    <row r="335" customFormat="false" ht="15" hidden="false" customHeight="false" outlineLevel="0" collapsed="false">
      <c r="A335" s="4" t="s">
        <v>314</v>
      </c>
      <c r="B335" s="4" t="s">
        <v>315</v>
      </c>
      <c r="C335" s="4" t="s">
        <v>101</v>
      </c>
      <c r="D335" s="4" t="s">
        <v>61</v>
      </c>
      <c r="E335" s="4" t="s">
        <v>91</v>
      </c>
      <c r="F335" s="7" t="n">
        <v>11900.3325185806</v>
      </c>
      <c r="G335" s="7" t="n">
        <v>20916.5778740129</v>
      </c>
      <c r="H335" s="7" t="n">
        <v>16494.3875292969</v>
      </c>
      <c r="I335" s="7" t="n">
        <v>26493.7020430897</v>
      </c>
      <c r="J335" s="7" t="n">
        <v>36826.8907380273</v>
      </c>
      <c r="K335" s="7" t="n">
        <v>40533.6407664032</v>
      </c>
      <c r="L335" s="7" t="n">
        <v>30023.3959197582</v>
      </c>
      <c r="M335" s="7" t="n">
        <v>47525.6305029275</v>
      </c>
      <c r="N335" s="7" t="n">
        <v>44050.1523298239</v>
      </c>
      <c r="O335" s="7" t="n">
        <v>30139.6080228065</v>
      </c>
      <c r="P335" s="7" t="n">
        <v>19670.9176676361</v>
      </c>
      <c r="Q335" s="7" t="n">
        <v>31707.8801131747</v>
      </c>
      <c r="R335" s="7" t="n">
        <v>23178.2836701523</v>
      </c>
      <c r="S335" s="7" t="n">
        <v>27484.8819433194</v>
      </c>
      <c r="T335" s="7" t="n">
        <v>23040.2382813923</v>
      </c>
      <c r="U335" s="7" t="n">
        <v>23386.9523188823</v>
      </c>
      <c r="V335" s="7" t="n">
        <v>12897.0534966529</v>
      </c>
      <c r="W335" s="7" t="n">
        <v>10502.5913903352</v>
      </c>
      <c r="X335" s="7" t="n">
        <v>5791.2794929165</v>
      </c>
      <c r="Y335" s="7" t="n">
        <v>8930.21476335303</v>
      </c>
      <c r="Z335" s="7" t="n">
        <v>13974.0250983392</v>
      </c>
      <c r="AA335" s="7" t="n">
        <v>13486.1031412125</v>
      </c>
      <c r="AB335" s="7" t="n">
        <v>15609.0460749933</v>
      </c>
    </row>
    <row r="336" customFormat="false" ht="15" hidden="false" customHeight="false" outlineLevel="0" collapsed="false">
      <c r="A336" s="4" t="s">
        <v>314</v>
      </c>
      <c r="B336" s="4" t="s">
        <v>315</v>
      </c>
      <c r="C336" s="4" t="s">
        <v>101</v>
      </c>
      <c r="D336" s="4" t="s">
        <v>61</v>
      </c>
      <c r="E336" s="4" t="s">
        <v>92</v>
      </c>
      <c r="F336" s="7" t="n">
        <v>2397.09265994618</v>
      </c>
      <c r="G336" s="7" t="n">
        <v>4572.80707366167</v>
      </c>
      <c r="H336" s="7" t="n">
        <v>7509.61121921364</v>
      </c>
      <c r="I336" s="7" t="n">
        <v>3419.19635088455</v>
      </c>
      <c r="J336" s="7" t="n">
        <v>15014.9905862989</v>
      </c>
      <c r="K336" s="7" t="n">
        <v>4675.19815922293</v>
      </c>
      <c r="L336" s="7" t="n">
        <v>10200.9706863944</v>
      </c>
      <c r="M336" s="7" t="n">
        <v>16722.867252043</v>
      </c>
      <c r="N336" s="7" t="n">
        <v>28015.1417865086</v>
      </c>
      <c r="O336" s="7" t="n">
        <v>29310.5502163786</v>
      </c>
      <c r="P336" s="7" t="n">
        <v>14294.1599082032</v>
      </c>
      <c r="Q336" s="7" t="n">
        <v>14627.2553135935</v>
      </c>
      <c r="R336" s="7" t="n">
        <v>11270.5139939426</v>
      </c>
      <c r="S336" s="7" t="n">
        <v>11671.2537018015</v>
      </c>
      <c r="T336" s="7" t="n">
        <v>15152.3119134418</v>
      </c>
      <c r="U336" s="7" t="n">
        <v>22930.4591562088</v>
      </c>
      <c r="V336" s="7" t="n">
        <v>33103.9809781338</v>
      </c>
      <c r="W336" s="7" t="n">
        <v>10206.0129550345</v>
      </c>
      <c r="X336" s="7" t="n">
        <v>16257.5318181965</v>
      </c>
      <c r="Y336" s="7" t="n">
        <v>14562.4816253029</v>
      </c>
      <c r="Z336" s="7" t="n">
        <v>20033.5878266517</v>
      </c>
      <c r="AA336" s="7" t="n">
        <v>15824.6861773931</v>
      </c>
      <c r="AB336" s="7" t="n">
        <v>21378.8324736069</v>
      </c>
    </row>
    <row r="337" customFormat="false" ht="15" hidden="false" customHeight="false" outlineLevel="0" collapsed="false">
      <c r="A337" s="4" t="s">
        <v>314</v>
      </c>
      <c r="B337" s="4" t="s">
        <v>315</v>
      </c>
      <c r="C337" s="4" t="s">
        <v>101</v>
      </c>
      <c r="D337" s="4" t="s">
        <v>61</v>
      </c>
      <c r="E337" s="4" t="s">
        <v>93</v>
      </c>
      <c r="F337" s="7" t="n">
        <v>49.8688217105402</v>
      </c>
      <c r="G337" s="7" t="n">
        <v>98.8336012086376</v>
      </c>
      <c r="H337" s="7" t="n">
        <v>35.6330397959657</v>
      </c>
      <c r="I337" s="7" t="n">
        <v>47.0146080987753</v>
      </c>
      <c r="J337" s="7" t="n">
        <v>103.213551124256</v>
      </c>
      <c r="K337" s="7" t="n">
        <v>140.589850629838</v>
      </c>
      <c r="L337" s="7" t="n">
        <v>74.8881295770881</v>
      </c>
      <c r="M337" s="7" t="n">
        <v>104.287820872991</v>
      </c>
      <c r="N337" s="7" t="n">
        <v>145.390696038581</v>
      </c>
      <c r="O337" s="7" t="n">
        <v>92.6611135116468</v>
      </c>
      <c r="P337" s="7" t="n">
        <v>89.8652071465257</v>
      </c>
      <c r="Q337" s="7" t="n">
        <v>127.979819382159</v>
      </c>
      <c r="R337" s="7" t="n">
        <v>128.060835213076</v>
      </c>
      <c r="S337" s="7" t="n">
        <v>517.888258784228</v>
      </c>
      <c r="T337" s="7" t="n">
        <v>547.8065476504</v>
      </c>
      <c r="U337" s="7" t="n">
        <v>611.371635876688</v>
      </c>
      <c r="V337" s="7" t="n">
        <v>332.487860004541</v>
      </c>
      <c r="W337" s="7" t="n">
        <v>117.700946412394</v>
      </c>
      <c r="X337" s="7" t="n">
        <v>170.111606147563</v>
      </c>
      <c r="Y337" s="7" t="n">
        <v>113.471483014574</v>
      </c>
      <c r="Z337" s="7" t="n">
        <v>85.0555400617495</v>
      </c>
      <c r="AA337" s="7" t="n">
        <v>102.978886308576</v>
      </c>
      <c r="AB337" s="7" t="n">
        <v>65.9725780096028</v>
      </c>
    </row>
    <row r="338" customFormat="false" ht="15" hidden="false" customHeight="false" outlineLevel="0" collapsed="false">
      <c r="A338" s="4" t="s">
        <v>316</v>
      </c>
      <c r="B338" s="4" t="s">
        <v>317</v>
      </c>
      <c r="C338" s="4" t="s">
        <v>101</v>
      </c>
      <c r="D338" s="4" t="s">
        <v>57</v>
      </c>
      <c r="E338" s="4" t="s">
        <v>91</v>
      </c>
      <c r="F338" s="7" t="n">
        <v>24.3916302883695</v>
      </c>
      <c r="G338" s="7" t="n">
        <v>0</v>
      </c>
      <c r="H338" s="7" t="n">
        <v>0.147414526367188</v>
      </c>
      <c r="I338" s="7" t="n">
        <v>0</v>
      </c>
      <c r="J338" s="7" t="n">
        <v>0.0739009521484375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</row>
    <row r="339" customFormat="false" ht="15" hidden="false" customHeight="false" outlineLevel="0" collapsed="false">
      <c r="A339" s="4" t="s">
        <v>316</v>
      </c>
      <c r="B339" s="4" t="s">
        <v>317</v>
      </c>
      <c r="C339" s="4" t="s">
        <v>101</v>
      </c>
      <c r="D339" s="4" t="s">
        <v>57</v>
      </c>
      <c r="E339" s="4" t="s">
        <v>92</v>
      </c>
      <c r="F339" s="7" t="n">
        <v>3.02478241915003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</row>
    <row r="340" customFormat="false" ht="15" hidden="false" customHeight="false" outlineLevel="0" collapsed="false">
      <c r="A340" s="4" t="s">
        <v>316</v>
      </c>
      <c r="B340" s="4" t="s">
        <v>317</v>
      </c>
      <c r="C340" s="4" t="s">
        <v>101</v>
      </c>
      <c r="D340" s="4" t="s">
        <v>57</v>
      </c>
      <c r="E340" s="4" t="s">
        <v>93</v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</row>
    <row r="341" customFormat="false" ht="15" hidden="false" customHeight="false" outlineLevel="0" collapsed="false">
      <c r="A341" s="4" t="s">
        <v>318</v>
      </c>
      <c r="B341" s="4" t="s">
        <v>319</v>
      </c>
      <c r="C341" s="4" t="s">
        <v>112</v>
      </c>
      <c r="D341" s="4" t="s">
        <v>41</v>
      </c>
      <c r="E341" s="4" t="s">
        <v>91</v>
      </c>
      <c r="F341" s="7" t="n">
        <v>7.89463143310547</v>
      </c>
      <c r="G341" s="7" t="n">
        <v>1.63746221923828</v>
      </c>
      <c r="H341" s="7" t="n">
        <v>1.86345831298828</v>
      </c>
      <c r="I341" s="7" t="n">
        <v>7.29799945068359</v>
      </c>
      <c r="J341" s="7" t="n">
        <v>24.7296470948941</v>
      </c>
      <c r="K341" s="7" t="n">
        <v>7.66740661621094</v>
      </c>
      <c r="L341" s="7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</row>
    <row r="342" customFormat="false" ht="15" hidden="false" customHeight="false" outlineLevel="0" collapsed="false">
      <c r="A342" s="4" t="s">
        <v>318</v>
      </c>
      <c r="B342" s="4" t="s">
        <v>319</v>
      </c>
      <c r="C342" s="4" t="s">
        <v>112</v>
      </c>
      <c r="D342" s="4" t="s">
        <v>41</v>
      </c>
      <c r="E342" s="4" t="s">
        <v>92</v>
      </c>
      <c r="F342" s="7" t="n">
        <v>0</v>
      </c>
      <c r="G342" s="7" t="n">
        <v>0</v>
      </c>
      <c r="H342" s="7" t="n">
        <v>19.2021063032345</v>
      </c>
      <c r="I342" s="7" t="n">
        <v>12.7343116630581</v>
      </c>
      <c r="J342" s="7" t="n">
        <v>17.2036254061723</v>
      </c>
      <c r="K342" s="7" t="n">
        <v>8.11931632634152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</row>
    <row r="343" customFormat="false" ht="15" hidden="false" customHeight="false" outlineLevel="0" collapsed="false">
      <c r="A343" s="4" t="s">
        <v>318</v>
      </c>
      <c r="B343" s="4" t="s">
        <v>319</v>
      </c>
      <c r="C343" s="4" t="s">
        <v>112</v>
      </c>
      <c r="D343" s="4" t="s">
        <v>41</v>
      </c>
      <c r="E343" s="4" t="s">
        <v>93</v>
      </c>
      <c r="F343" s="7" t="n">
        <v>2.53320612182617</v>
      </c>
      <c r="G343" s="7" t="n">
        <v>0.744911248779297</v>
      </c>
      <c r="H343" s="7" t="n">
        <v>0.0159879595086939</v>
      </c>
      <c r="I343" s="7" t="n">
        <v>0.00235881596016013</v>
      </c>
      <c r="J343" s="7" t="n">
        <v>0.00203041983686368</v>
      </c>
      <c r="K343" s="7" t="n">
        <v>0.00072834528933458</v>
      </c>
      <c r="L343" s="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</row>
    <row r="344" customFormat="false" ht="15" hidden="false" customHeight="false" outlineLevel="0" collapsed="false">
      <c r="A344" s="4" t="s">
        <v>320</v>
      </c>
      <c r="B344" s="4" t="s">
        <v>321</v>
      </c>
      <c r="C344" s="4" t="s">
        <v>101</v>
      </c>
      <c r="D344" s="4" t="s">
        <v>61</v>
      </c>
      <c r="E344" s="4" t="s">
        <v>91</v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26.0749680987338</v>
      </c>
      <c r="S344" s="7" t="n">
        <v>40.0929329067945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</row>
    <row r="345" customFormat="false" ht="15" hidden="false" customHeight="false" outlineLevel="0" collapsed="false">
      <c r="A345" s="4" t="s">
        <v>320</v>
      </c>
      <c r="B345" s="4" t="s">
        <v>321</v>
      </c>
      <c r="C345" s="4" t="s">
        <v>101</v>
      </c>
      <c r="D345" s="4" t="s">
        <v>61</v>
      </c>
      <c r="E345" s="4" t="s">
        <v>92</v>
      </c>
      <c r="F345" s="7" t="n">
        <v>33.0977341746371</v>
      </c>
      <c r="G345" s="7" t="n">
        <v>28.0415470892214</v>
      </c>
      <c r="H345" s="7" t="n">
        <v>25.6584989379883</v>
      </c>
      <c r="I345" s="7" t="n">
        <v>52.4668461841538</v>
      </c>
      <c r="J345" s="7" t="n">
        <v>28.9672139997415</v>
      </c>
      <c r="K345" s="7" t="n">
        <v>29.1015349272844</v>
      </c>
      <c r="L345" s="7" t="n">
        <v>27.0404401442105</v>
      </c>
      <c r="M345" s="7" t="n">
        <v>38.236856631721</v>
      </c>
      <c r="N345" s="7" t="n">
        <v>42.5631102722168</v>
      </c>
      <c r="O345" s="7" t="n">
        <v>5.92624844360352</v>
      </c>
      <c r="P345" s="7" t="n">
        <v>78.3246695007325</v>
      </c>
      <c r="Q345" s="7" t="n">
        <v>38.8022158224906</v>
      </c>
      <c r="R345" s="7" t="n">
        <v>38.8779464819906</v>
      </c>
      <c r="S345" s="7" t="n">
        <v>84.2277851421389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</row>
    <row r="346" customFormat="false" ht="15" hidden="false" customHeight="false" outlineLevel="0" collapsed="false">
      <c r="A346" s="4" t="s">
        <v>320</v>
      </c>
      <c r="B346" s="4" t="s">
        <v>321</v>
      </c>
      <c r="C346" s="4" t="s">
        <v>101</v>
      </c>
      <c r="D346" s="4" t="s">
        <v>61</v>
      </c>
      <c r="E346" s="4" t="s">
        <v>93</v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</row>
    <row r="347" customFormat="false" ht="15" hidden="false" customHeight="false" outlineLevel="0" collapsed="false">
      <c r="A347" s="4" t="s">
        <v>322</v>
      </c>
      <c r="B347" s="4" t="s">
        <v>323</v>
      </c>
      <c r="C347" s="4" t="s">
        <v>101</v>
      </c>
      <c r="D347" s="4" t="s">
        <v>61</v>
      </c>
      <c r="E347" s="4" t="s">
        <v>91</v>
      </c>
      <c r="F347" s="7" t="n">
        <v>2528.14747907114</v>
      </c>
      <c r="G347" s="7" t="n">
        <v>3476.72051961635</v>
      </c>
      <c r="H347" s="7" t="n">
        <v>7205.66226032351</v>
      </c>
      <c r="I347" s="7" t="n">
        <v>5323.73671002963</v>
      </c>
      <c r="J347" s="7" t="n">
        <v>10320.0443434787</v>
      </c>
      <c r="K347" s="7" t="n">
        <v>4649.95934906341</v>
      </c>
      <c r="L347" s="7" t="n">
        <v>6811.187592364</v>
      </c>
      <c r="M347" s="7" t="n">
        <v>8131.49493659512</v>
      </c>
      <c r="N347" s="7" t="n">
        <v>3142.28063859889</v>
      </c>
      <c r="O347" s="7" t="n">
        <v>3761.25769910236</v>
      </c>
      <c r="P347" s="7" t="n">
        <v>6832.77333446338</v>
      </c>
      <c r="Q347" s="7" t="n">
        <v>7895.67623557391</v>
      </c>
      <c r="R347" s="7" t="n">
        <v>9440.1770024699</v>
      </c>
      <c r="S347" s="7" t="n">
        <v>14816.3432855426</v>
      </c>
      <c r="T347" s="7" t="n">
        <v>9190.33012029242</v>
      </c>
      <c r="U347" s="7" t="n">
        <v>12304.0424819032</v>
      </c>
      <c r="V347" s="7" t="n">
        <v>14715.9490341822</v>
      </c>
      <c r="W347" s="7" t="n">
        <v>15436.9905330171</v>
      </c>
      <c r="X347" s="7" t="n">
        <v>11330.6418906712</v>
      </c>
      <c r="Y347" s="7" t="n">
        <v>15621.8564647984</v>
      </c>
      <c r="Z347" s="7" t="n">
        <v>2263.60520323862</v>
      </c>
      <c r="AA347" s="7" t="n">
        <v>2528.87816504857</v>
      </c>
      <c r="AB347" s="7" t="n">
        <v>10026.8305748374</v>
      </c>
    </row>
    <row r="348" customFormat="false" ht="15" hidden="false" customHeight="false" outlineLevel="0" collapsed="false">
      <c r="A348" s="4" t="s">
        <v>322</v>
      </c>
      <c r="B348" s="4" t="s">
        <v>323</v>
      </c>
      <c r="C348" s="4" t="s">
        <v>101</v>
      </c>
      <c r="D348" s="4" t="s">
        <v>61</v>
      </c>
      <c r="E348" s="4" t="s">
        <v>92</v>
      </c>
      <c r="F348" s="7" t="n">
        <v>256.484672921041</v>
      </c>
      <c r="G348" s="7" t="n">
        <v>114.247351717497</v>
      </c>
      <c r="H348" s="7" t="n">
        <v>182.643670107706</v>
      </c>
      <c r="I348" s="7" t="n">
        <v>87.8389576312656</v>
      </c>
      <c r="J348" s="7" t="n">
        <v>137.630881052975</v>
      </c>
      <c r="K348" s="7" t="n">
        <v>122.011933524867</v>
      </c>
      <c r="L348" s="7" t="n">
        <v>182.421497241912</v>
      </c>
      <c r="M348" s="7" t="n">
        <v>666.855481577833</v>
      </c>
      <c r="N348" s="7" t="n">
        <v>997.990791375666</v>
      </c>
      <c r="O348" s="7" t="n">
        <v>267.193789442657</v>
      </c>
      <c r="P348" s="7" t="n">
        <v>145.062112217912</v>
      </c>
      <c r="Q348" s="7" t="n">
        <v>134.23143693766</v>
      </c>
      <c r="R348" s="7" t="n">
        <v>145.998577323657</v>
      </c>
      <c r="S348" s="7" t="n">
        <v>413.52923793452</v>
      </c>
      <c r="T348" s="7" t="n">
        <v>222.142326536637</v>
      </c>
      <c r="U348" s="7" t="n">
        <v>441.969081229362</v>
      </c>
      <c r="V348" s="7" t="n">
        <v>604.218503729435</v>
      </c>
      <c r="W348" s="7" t="n">
        <v>627.694337402018</v>
      </c>
      <c r="X348" s="7" t="n">
        <v>676.854839482422</v>
      </c>
      <c r="Y348" s="7" t="n">
        <v>1485.4644137077</v>
      </c>
      <c r="Z348" s="7" t="n">
        <v>3087.23249752465</v>
      </c>
      <c r="AA348" s="7" t="n">
        <v>2649.00280401566</v>
      </c>
      <c r="AB348" s="7" t="n">
        <v>2713.61433732835</v>
      </c>
    </row>
    <row r="349" customFormat="false" ht="15" hidden="false" customHeight="false" outlineLevel="0" collapsed="false">
      <c r="A349" s="4" t="s">
        <v>322</v>
      </c>
      <c r="B349" s="4" t="s">
        <v>323</v>
      </c>
      <c r="C349" s="4" t="s">
        <v>101</v>
      </c>
      <c r="D349" s="4" t="s">
        <v>61</v>
      </c>
      <c r="E349" s="4" t="s">
        <v>93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</row>
    <row r="350" customFormat="false" ht="15" hidden="false" customHeight="false" outlineLevel="0" collapsed="false">
      <c r="A350" s="4" t="s">
        <v>324</v>
      </c>
      <c r="B350" s="4" t="s">
        <v>325</v>
      </c>
      <c r="C350" s="4" t="s">
        <v>146</v>
      </c>
      <c r="D350" s="4" t="s">
        <v>47</v>
      </c>
      <c r="E350" s="4" t="s">
        <v>91</v>
      </c>
      <c r="F350" s="7" t="n">
        <v>86422.7840241466</v>
      </c>
      <c r="G350" s="7" t="n">
        <v>81466.7007362234</v>
      </c>
      <c r="H350" s="7" t="n">
        <v>44391.5992573901</v>
      </c>
      <c r="I350" s="7" t="n">
        <v>52426.344255127</v>
      </c>
      <c r="J350" s="7" t="n">
        <v>59839.2724648513</v>
      </c>
      <c r="K350" s="7" t="n">
        <v>89874.668270112</v>
      </c>
      <c r="L350" s="7" t="n">
        <v>111561.605903147</v>
      </c>
      <c r="M350" s="7" t="n">
        <v>110276.658568897</v>
      </c>
      <c r="N350" s="7" t="n">
        <v>175686.666666667</v>
      </c>
      <c r="O350" s="7" t="n">
        <v>128083.12695412</v>
      </c>
      <c r="P350" s="7" t="n">
        <v>117324.333333333</v>
      </c>
      <c r="Q350" s="7" t="n">
        <v>176211.156967577</v>
      </c>
      <c r="R350" s="7" t="n">
        <v>97018.3850458718</v>
      </c>
      <c r="S350" s="7" t="n">
        <v>122071.854878428</v>
      </c>
      <c r="T350" s="7" t="n">
        <v>107986.592393463</v>
      </c>
      <c r="U350" s="7" t="n">
        <v>163692.145472158</v>
      </c>
      <c r="V350" s="7" t="n">
        <v>150242.039727782</v>
      </c>
      <c r="W350" s="7" t="n">
        <v>136560.649610647</v>
      </c>
      <c r="X350" s="7" t="n">
        <v>102909.851755032</v>
      </c>
      <c r="Y350" s="7" t="n">
        <v>28542.1225546807</v>
      </c>
      <c r="Z350" s="7" t="n">
        <v>28094.8585295276</v>
      </c>
      <c r="AA350" s="7" t="n">
        <v>21131.324546099</v>
      </c>
      <c r="AB350" s="7" t="n">
        <v>27100.223618446</v>
      </c>
    </row>
    <row r="351" customFormat="false" ht="15" hidden="false" customHeight="false" outlineLevel="0" collapsed="false">
      <c r="A351" s="4" t="s">
        <v>324</v>
      </c>
      <c r="B351" s="4" t="s">
        <v>325</v>
      </c>
      <c r="C351" s="4" t="s">
        <v>146</v>
      </c>
      <c r="D351" s="4" t="s">
        <v>47</v>
      </c>
      <c r="E351" s="4" t="s">
        <v>92</v>
      </c>
      <c r="F351" s="7" t="n">
        <v>8199.57908033316</v>
      </c>
      <c r="G351" s="7" t="n">
        <v>10757.2411284752</v>
      </c>
      <c r="H351" s="7" t="n">
        <v>11497.9055086946</v>
      </c>
      <c r="I351" s="7" t="n">
        <v>16042.3857939887</v>
      </c>
      <c r="J351" s="7" t="n">
        <v>14855.5704266511</v>
      </c>
      <c r="K351" s="7" t="n">
        <v>10520.0027032477</v>
      </c>
      <c r="L351" s="7" t="n">
        <v>8320.57940194468</v>
      </c>
      <c r="M351" s="7" t="n">
        <v>5875.1804105425</v>
      </c>
      <c r="N351" s="7" t="n">
        <v>6263.09155270373</v>
      </c>
      <c r="O351" s="7" t="n">
        <v>3292.92328232018</v>
      </c>
      <c r="P351" s="7" t="n">
        <v>2942.10367828359</v>
      </c>
      <c r="Q351" s="7" t="n">
        <v>6958.10488709704</v>
      </c>
      <c r="R351" s="7" t="n">
        <v>4153.17543172074</v>
      </c>
      <c r="S351" s="7" t="n">
        <v>13490.8514072081</v>
      </c>
      <c r="T351" s="7" t="n">
        <v>4804.52589945297</v>
      </c>
      <c r="U351" s="7" t="n">
        <v>7181.55464618795</v>
      </c>
      <c r="V351" s="7" t="n">
        <v>7328.43944900953</v>
      </c>
      <c r="W351" s="7" t="n">
        <v>7406.99947502446</v>
      </c>
      <c r="X351" s="7" t="n">
        <v>11314.4995709605</v>
      </c>
      <c r="Y351" s="7" t="n">
        <v>17154.6964803876</v>
      </c>
      <c r="Z351" s="7" t="n">
        <v>22920.7347792176</v>
      </c>
      <c r="AA351" s="7" t="n">
        <v>26220.6045406815</v>
      </c>
      <c r="AB351" s="7" t="n">
        <v>22098.6786000956</v>
      </c>
    </row>
    <row r="352" customFormat="false" ht="15" hidden="false" customHeight="false" outlineLevel="0" collapsed="false">
      <c r="A352" s="4" t="s">
        <v>324</v>
      </c>
      <c r="B352" s="4" t="s">
        <v>325</v>
      </c>
      <c r="C352" s="4" t="s">
        <v>146</v>
      </c>
      <c r="D352" s="4" t="s">
        <v>47</v>
      </c>
      <c r="E352" s="4" t="s">
        <v>93</v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5365.33333333333</v>
      </c>
      <c r="N352" s="7" t="n">
        <v>42591.6666666666</v>
      </c>
      <c r="O352" s="7" t="n">
        <v>48487.8083245724</v>
      </c>
      <c r="P352" s="7" t="n">
        <v>44115.3896091187</v>
      </c>
      <c r="Q352" s="7" t="n">
        <v>79818</v>
      </c>
      <c r="R352" s="7" t="n">
        <v>34569.1812527804</v>
      </c>
      <c r="S352" s="7" t="n">
        <v>30899.3333333333</v>
      </c>
      <c r="T352" s="7" t="n">
        <v>1653.33333333333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</row>
    <row r="353" customFormat="false" ht="15" hidden="false" customHeight="false" outlineLevel="0" collapsed="false">
      <c r="A353" s="4" t="s">
        <v>326</v>
      </c>
      <c r="B353" s="4" t="s">
        <v>327</v>
      </c>
      <c r="C353" s="4" t="s">
        <v>101</v>
      </c>
      <c r="D353" s="4" t="s">
        <v>59</v>
      </c>
      <c r="E353" s="4" t="s">
        <v>91</v>
      </c>
      <c r="F353" s="7" t="n">
        <v>76.4623816506859</v>
      </c>
      <c r="G353" s="7" t="n">
        <v>20.2714061146039</v>
      </c>
      <c r="H353" s="7" t="n">
        <v>38.2830686339772</v>
      </c>
      <c r="I353" s="7" t="n">
        <v>5.3483094909668</v>
      </c>
      <c r="J353" s="7" t="n">
        <v>18.372333770752</v>
      </c>
      <c r="K353" s="7" t="n">
        <v>3.74389561157227</v>
      </c>
      <c r="L353" s="7" t="n">
        <v>35.2860187365081</v>
      </c>
      <c r="M353" s="7" t="n">
        <v>11.3869946773271</v>
      </c>
      <c r="N353" s="7" t="n">
        <v>56.5509072775898</v>
      </c>
      <c r="O353" s="7" t="n">
        <v>16.9790555077325</v>
      </c>
      <c r="P353" s="7" t="n">
        <v>48.2875719149522</v>
      </c>
      <c r="Q353" s="7" t="n">
        <v>35.1706405734931</v>
      </c>
      <c r="R353" s="7" t="n">
        <v>0.861156980880563</v>
      </c>
      <c r="S353" s="7" t="n">
        <v>0.48358385652761</v>
      </c>
      <c r="T353" s="7" t="n">
        <v>0.750835591387702</v>
      </c>
      <c r="U353" s="7" t="n">
        <v>0.75381432039726</v>
      </c>
      <c r="V353" s="7" t="n">
        <v>2.41161260382783</v>
      </c>
      <c r="W353" s="7" t="n">
        <v>5.25710089134134</v>
      </c>
      <c r="X353" s="7" t="n">
        <v>1.15684776787206</v>
      </c>
      <c r="Y353" s="7" t="n">
        <v>0.349151313403951</v>
      </c>
      <c r="Z353" s="7" t="n">
        <v>1.10283912363548</v>
      </c>
      <c r="AA353" s="7" t="n">
        <v>0.504556882288128</v>
      </c>
      <c r="AB353" s="7" t="n">
        <v>0.504991649408142</v>
      </c>
    </row>
    <row r="354" customFormat="false" ht="15" hidden="false" customHeight="false" outlineLevel="0" collapsed="false">
      <c r="A354" s="4" t="s">
        <v>326</v>
      </c>
      <c r="B354" s="4" t="s">
        <v>327</v>
      </c>
      <c r="C354" s="4" t="s">
        <v>101</v>
      </c>
      <c r="D354" s="4" t="s">
        <v>59</v>
      </c>
      <c r="E354" s="4" t="s">
        <v>92</v>
      </c>
      <c r="F354" s="7" t="n">
        <v>409.505403074728</v>
      </c>
      <c r="G354" s="7" t="n">
        <v>116.703177802824</v>
      </c>
      <c r="H354" s="7" t="n">
        <v>279.700506142203</v>
      </c>
      <c r="I354" s="7" t="n">
        <v>122.527030818015</v>
      </c>
      <c r="J354" s="7" t="n">
        <v>109.722922943618</v>
      </c>
      <c r="K354" s="7" t="n">
        <v>27.9922286071777</v>
      </c>
      <c r="L354" s="7" t="n">
        <v>122.385686518092</v>
      </c>
      <c r="M354" s="7" t="n">
        <v>51.4964031014001</v>
      </c>
      <c r="N354" s="7" t="n">
        <v>131.952690289908</v>
      </c>
      <c r="O354" s="7" t="n">
        <v>42.2550479156696</v>
      </c>
      <c r="P354" s="7" t="n">
        <v>65.7904898487245</v>
      </c>
      <c r="Q354" s="7" t="n">
        <v>31.7410437349905</v>
      </c>
      <c r="R354" s="7" t="n">
        <v>8.26422856068079</v>
      </c>
      <c r="S354" s="7" t="n">
        <v>8.09204681363841</v>
      </c>
      <c r="T354" s="7" t="n">
        <v>4.22367653019433</v>
      </c>
      <c r="U354" s="7" t="n">
        <v>4.31127015584929</v>
      </c>
      <c r="V354" s="7" t="n">
        <v>10.7155598326956</v>
      </c>
      <c r="W354" s="7" t="n">
        <v>20.0061192136391</v>
      </c>
      <c r="X354" s="7" t="n">
        <v>5.95156004462794</v>
      </c>
      <c r="Y354" s="7" t="n">
        <v>3.02252189216246</v>
      </c>
      <c r="Z354" s="7" t="n">
        <v>11.2327169182227</v>
      </c>
      <c r="AA354" s="7" t="n">
        <v>5.06531954593453</v>
      </c>
      <c r="AB354" s="7" t="n">
        <v>4.91585547322705</v>
      </c>
    </row>
    <row r="355" customFormat="false" ht="15" hidden="false" customHeight="false" outlineLevel="0" collapsed="false">
      <c r="A355" s="4" t="s">
        <v>326</v>
      </c>
      <c r="B355" s="4" t="s">
        <v>327</v>
      </c>
      <c r="C355" s="4" t="s">
        <v>101</v>
      </c>
      <c r="D355" s="4" t="s">
        <v>59</v>
      </c>
      <c r="E355" s="4" t="s">
        <v>93</v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</row>
    <row r="356" customFormat="false" ht="15" hidden="false" customHeight="false" outlineLevel="0" collapsed="false">
      <c r="A356" s="4" t="s">
        <v>328</v>
      </c>
      <c r="B356" s="4" t="s">
        <v>329</v>
      </c>
      <c r="C356" s="4" t="s">
        <v>115</v>
      </c>
      <c r="D356" s="4" t="s">
        <v>39</v>
      </c>
      <c r="E356" s="4" t="s">
        <v>91</v>
      </c>
      <c r="F356" s="7" t="n">
        <v>149.213011710346</v>
      </c>
      <c r="G356" s="7" t="n">
        <v>102.102051967397</v>
      </c>
      <c r="H356" s="7" t="n">
        <v>76.3303439494808</v>
      </c>
      <c r="I356" s="7" t="n">
        <v>94.4015356193541</v>
      </c>
      <c r="J356" s="7" t="n">
        <v>77.4645996003784</v>
      </c>
      <c r="K356" s="7" t="n">
        <v>68.6302111426259</v>
      </c>
      <c r="L356" s="7" t="n">
        <v>109.770202369667</v>
      </c>
      <c r="M356" s="7" t="n">
        <v>85.9958191076575</v>
      </c>
      <c r="N356" s="7" t="n">
        <v>170.235540983763</v>
      </c>
      <c r="O356" s="7" t="n">
        <v>0.788030786132813</v>
      </c>
      <c r="P356" s="7" t="n">
        <v>8.57408635715532</v>
      </c>
      <c r="Q356" s="7" t="n">
        <v>85.7387587555086</v>
      </c>
      <c r="R356" s="7" t="n">
        <v>49.2241875223921</v>
      </c>
      <c r="S356" s="7" t="n">
        <v>17.5122457430519</v>
      </c>
      <c r="T356" s="7" t="n">
        <v>26.4467953225962</v>
      </c>
      <c r="U356" s="7" t="n">
        <v>15.0882285765373</v>
      </c>
      <c r="V356" s="7" t="n">
        <v>13.819871613536</v>
      </c>
      <c r="W356" s="7" t="n">
        <v>22.1741854475402</v>
      </c>
      <c r="X356" s="7" t="n">
        <v>19.3333333333333</v>
      </c>
      <c r="Y356" s="7" t="n">
        <v>33.1704218179015</v>
      </c>
      <c r="Z356" s="7" t="n">
        <v>25.5569416946423</v>
      </c>
      <c r="AA356" s="7" t="n">
        <v>6.40971169215708</v>
      </c>
      <c r="AB356" s="7" t="n">
        <v>16.873022903173</v>
      </c>
    </row>
    <row r="357" customFormat="false" ht="15" hidden="false" customHeight="false" outlineLevel="0" collapsed="false">
      <c r="A357" s="4" t="s">
        <v>328</v>
      </c>
      <c r="B357" s="4" t="s">
        <v>329</v>
      </c>
      <c r="C357" s="4" t="s">
        <v>115</v>
      </c>
      <c r="D357" s="4" t="s">
        <v>39</v>
      </c>
      <c r="E357" s="4" t="s">
        <v>92</v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60.3484613675037</v>
      </c>
      <c r="R357" s="7" t="n">
        <v>155.904296293038</v>
      </c>
      <c r="S357" s="7" t="n">
        <v>141.946595291909</v>
      </c>
      <c r="T357" s="7" t="n">
        <v>13.8789419332632</v>
      </c>
      <c r="U357" s="7" t="n">
        <v>24.6164025513924</v>
      </c>
      <c r="V357" s="7" t="n">
        <v>37.9897637888891</v>
      </c>
      <c r="W357" s="7" t="n">
        <v>30.1856655290223</v>
      </c>
      <c r="X357" s="7" t="n">
        <v>16.5793665949931</v>
      </c>
      <c r="Y357" s="7" t="n">
        <v>15.8653818409527</v>
      </c>
      <c r="Z357" s="7" t="n">
        <v>10.3592043075549</v>
      </c>
      <c r="AA357" s="7" t="n">
        <v>2.71466264255971</v>
      </c>
      <c r="AB357" s="7" t="n">
        <v>7.34308475063558</v>
      </c>
    </row>
    <row r="358" customFormat="false" ht="15" hidden="false" customHeight="false" outlineLevel="0" collapsed="false">
      <c r="A358" s="4" t="s">
        <v>328</v>
      </c>
      <c r="B358" s="4" t="s">
        <v>329</v>
      </c>
      <c r="C358" s="4" t="s">
        <v>115</v>
      </c>
      <c r="D358" s="4" t="s">
        <v>39</v>
      </c>
      <c r="E358" s="4" t="s">
        <v>93</v>
      </c>
      <c r="F358" s="7" t="n">
        <v>26.6272563301145</v>
      </c>
      <c r="G358" s="7" t="n">
        <v>20.2990229574462</v>
      </c>
      <c r="H358" s="7" t="n">
        <v>35.659286915136</v>
      </c>
      <c r="I358" s="7" t="n">
        <v>40.0098947610505</v>
      </c>
      <c r="J358" s="7" t="n">
        <v>32.2534093248763</v>
      </c>
      <c r="K358" s="7" t="n">
        <v>20.5614605629596</v>
      </c>
      <c r="L358" s="7" t="n">
        <v>32.3181660246776</v>
      </c>
      <c r="M358" s="7" t="n">
        <v>27.0956490469027</v>
      </c>
      <c r="N358" s="7" t="n">
        <v>18.3333333333333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</row>
    <row r="359" customFormat="false" ht="15" hidden="false" customHeight="false" outlineLevel="0" collapsed="false">
      <c r="A359" s="4" t="s">
        <v>330</v>
      </c>
      <c r="B359" s="4" t="s">
        <v>331</v>
      </c>
      <c r="C359" s="4" t="s">
        <v>101</v>
      </c>
      <c r="D359" s="4" t="s">
        <v>57</v>
      </c>
      <c r="E359" s="4" t="s">
        <v>91</v>
      </c>
      <c r="F359" s="7" t="n">
        <v>0.0868477819752661</v>
      </c>
      <c r="G359" s="7" t="n">
        <v>0.0913383364214042</v>
      </c>
      <c r="H359" s="7" t="n">
        <v>0</v>
      </c>
      <c r="I359" s="7" t="n">
        <v>0.0676692978242961</v>
      </c>
      <c r="J359" s="7" t="n">
        <v>0</v>
      </c>
      <c r="K359" s="7" t="n">
        <v>0</v>
      </c>
      <c r="L359" s="7" t="n">
        <v>0.109224970845305</v>
      </c>
      <c r="M359" s="7" t="n">
        <v>0</v>
      </c>
      <c r="N359" s="7" t="n">
        <v>0</v>
      </c>
      <c r="O359" s="7" t="n">
        <v>0.0696799957056632</v>
      </c>
      <c r="P359" s="7" t="n">
        <v>0</v>
      </c>
      <c r="Q359" s="7" t="n">
        <v>0.0714364382842699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</row>
    <row r="360" customFormat="false" ht="15" hidden="false" customHeight="false" outlineLevel="0" collapsed="false">
      <c r="A360" s="4" t="s">
        <v>330</v>
      </c>
      <c r="B360" s="4" t="s">
        <v>331</v>
      </c>
      <c r="C360" s="4" t="s">
        <v>101</v>
      </c>
      <c r="D360" s="4" t="s">
        <v>57</v>
      </c>
      <c r="E360" s="4" t="s">
        <v>92</v>
      </c>
      <c r="F360" s="7" t="n">
        <v>0.357972738974008</v>
      </c>
      <c r="G360" s="7" t="n">
        <v>1.25959808336086</v>
      </c>
      <c r="H360" s="7" t="n">
        <v>0.823712704942305</v>
      </c>
      <c r="I360" s="7" t="n">
        <v>0.457760334503013</v>
      </c>
      <c r="J360" s="7" t="n">
        <v>0</v>
      </c>
      <c r="K360" s="7" t="n">
        <v>0</v>
      </c>
      <c r="L360" s="7" t="n">
        <v>0.0399872817797913</v>
      </c>
      <c r="M360" s="7" t="n">
        <v>0</v>
      </c>
      <c r="N360" s="7" t="n">
        <v>0</v>
      </c>
      <c r="O360" s="7" t="n">
        <v>0.00479112312722573</v>
      </c>
      <c r="P360" s="7" t="n">
        <v>0</v>
      </c>
      <c r="Q360" s="7" t="n">
        <v>0.00276616300153412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</row>
    <row r="361" customFormat="false" ht="15" hidden="false" customHeight="false" outlineLevel="0" collapsed="false">
      <c r="A361" s="4" t="s">
        <v>330</v>
      </c>
      <c r="B361" s="4" t="s">
        <v>331</v>
      </c>
      <c r="C361" s="4" t="s">
        <v>101</v>
      </c>
      <c r="D361" s="4" t="s">
        <v>57</v>
      </c>
      <c r="E361" s="4" t="s">
        <v>93</v>
      </c>
      <c r="F361" s="7" t="n">
        <v>0.0058517202616634</v>
      </c>
      <c r="G361" s="7" t="n">
        <v>0.00192506703413865</v>
      </c>
      <c r="H361" s="7" t="n">
        <v>0.00134294080964844</v>
      </c>
      <c r="I361" s="7" t="n">
        <v>0.000741009762535066</v>
      </c>
      <c r="J361" s="7" t="n">
        <v>0</v>
      </c>
      <c r="K361" s="7" t="n">
        <v>0</v>
      </c>
      <c r="L361" s="7" t="n">
        <v>0.00116338214052865</v>
      </c>
      <c r="M361" s="7" t="n">
        <v>0</v>
      </c>
      <c r="N361" s="7" t="n">
        <v>0</v>
      </c>
      <c r="O361" s="7" t="n">
        <v>0.000292656801876703</v>
      </c>
      <c r="P361" s="7" t="n">
        <v>0</v>
      </c>
      <c r="Q361" s="7" t="n">
        <v>0.000560863069664733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</row>
    <row r="362" customFormat="false" ht="15" hidden="false" customHeight="false" outlineLevel="0" collapsed="false">
      <c r="A362" s="4" t="s">
        <v>332</v>
      </c>
      <c r="B362" s="4" t="s">
        <v>72</v>
      </c>
      <c r="C362" s="4" t="s">
        <v>101</v>
      </c>
      <c r="D362" s="4" t="s">
        <v>71</v>
      </c>
      <c r="E362" s="4" t="s">
        <v>91</v>
      </c>
      <c r="F362" s="7" t="n">
        <v>29334.2750839869</v>
      </c>
      <c r="G362" s="7" t="n">
        <v>20389.3008027355</v>
      </c>
      <c r="H362" s="7" t="n">
        <v>1844.19922111795</v>
      </c>
      <c r="I362" s="7" t="n">
        <v>979.418734694489</v>
      </c>
      <c r="J362" s="7" t="n">
        <v>2678.96477283313</v>
      </c>
      <c r="K362" s="7" t="n">
        <v>27858.4304215511</v>
      </c>
      <c r="L362" s="7" t="n">
        <v>9869.43891567111</v>
      </c>
      <c r="M362" s="7" t="n">
        <v>5762.15446001965</v>
      </c>
      <c r="N362" s="7" t="n">
        <v>7097.06679939761</v>
      </c>
      <c r="O362" s="7" t="n">
        <v>4469.82773000441</v>
      </c>
      <c r="P362" s="7" t="n">
        <v>22748.5391356563</v>
      </c>
      <c r="Q362" s="7" t="n">
        <v>13239.9665322952</v>
      </c>
      <c r="R362" s="7" t="n">
        <v>21475.7852777836</v>
      </c>
      <c r="S362" s="7" t="n">
        <v>53111.1276218556</v>
      </c>
      <c r="T362" s="7" t="n">
        <v>48722.889804556</v>
      </c>
      <c r="U362" s="7" t="n">
        <v>89743.7822324899</v>
      </c>
      <c r="V362" s="7" t="n">
        <v>227652.91214218</v>
      </c>
      <c r="W362" s="7" t="n">
        <v>138459.903884702</v>
      </c>
      <c r="X362" s="7" t="n">
        <v>75794.6174671243</v>
      </c>
      <c r="Y362" s="7" t="n">
        <v>87000.3551869425</v>
      </c>
      <c r="Z362" s="7" t="n">
        <v>105619.324593775</v>
      </c>
      <c r="AA362" s="7" t="n">
        <v>113317.949539654</v>
      </c>
      <c r="AB362" s="7" t="n">
        <v>86771.6342448971</v>
      </c>
    </row>
    <row r="363" customFormat="false" ht="15" hidden="false" customHeight="false" outlineLevel="0" collapsed="false">
      <c r="A363" s="4" t="s">
        <v>332</v>
      </c>
      <c r="B363" s="4" t="s">
        <v>72</v>
      </c>
      <c r="C363" s="4" t="s">
        <v>101</v>
      </c>
      <c r="D363" s="4" t="s">
        <v>71</v>
      </c>
      <c r="E363" s="4" t="s">
        <v>92</v>
      </c>
      <c r="F363" s="7" t="n">
        <v>18621.4499248217</v>
      </c>
      <c r="G363" s="7" t="n">
        <v>14097.7849427869</v>
      </c>
      <c r="H363" s="7" t="n">
        <v>15191.4202481958</v>
      </c>
      <c r="I363" s="7" t="n">
        <v>15076.6846385267</v>
      </c>
      <c r="J363" s="7" t="n">
        <v>14085.057750893</v>
      </c>
      <c r="K363" s="7" t="n">
        <v>0</v>
      </c>
      <c r="L363" s="7" t="n">
        <v>21578.5152843368</v>
      </c>
      <c r="M363" s="7" t="n">
        <v>24122.2671870385</v>
      </c>
      <c r="N363" s="7" t="n">
        <v>23075.8880512774</v>
      </c>
      <c r="O363" s="7" t="n">
        <v>28841.5985683005</v>
      </c>
      <c r="P363" s="7" t="n">
        <v>39464.2035946506</v>
      </c>
      <c r="Q363" s="7" t="n">
        <v>32091.5433016902</v>
      </c>
      <c r="R363" s="7" t="n">
        <v>33410.5549267718</v>
      </c>
      <c r="S363" s="7" t="n">
        <v>35993.8728154827</v>
      </c>
      <c r="T363" s="7" t="n">
        <v>5881.33089876268</v>
      </c>
      <c r="U363" s="7" t="n">
        <v>0</v>
      </c>
      <c r="V363" s="7" t="n">
        <v>0</v>
      </c>
      <c r="W363" s="7" t="n">
        <v>17954.4852282045</v>
      </c>
      <c r="X363" s="7" t="n">
        <v>40127.6049746227</v>
      </c>
      <c r="Y363" s="7" t="n">
        <v>38078.4873845578</v>
      </c>
      <c r="Z363" s="7" t="n">
        <v>20321.2709301437</v>
      </c>
      <c r="AA363" s="7" t="n">
        <v>23880.4304383492</v>
      </c>
      <c r="AB363" s="7" t="n">
        <v>22771.5141704204</v>
      </c>
    </row>
    <row r="364" customFormat="false" ht="15" hidden="false" customHeight="false" outlineLevel="0" collapsed="false">
      <c r="A364" s="4" t="s">
        <v>332</v>
      </c>
      <c r="B364" s="4" t="s">
        <v>72</v>
      </c>
      <c r="C364" s="4" t="s">
        <v>101</v>
      </c>
      <c r="D364" s="4" t="s">
        <v>71</v>
      </c>
      <c r="E364" s="4" t="s">
        <v>93</v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</row>
    <row r="365" customFormat="false" ht="15" hidden="false" customHeight="false" outlineLevel="0" collapsed="false">
      <c r="A365" s="4" t="s">
        <v>333</v>
      </c>
      <c r="B365" s="4" t="s">
        <v>334</v>
      </c>
      <c r="C365" s="4" t="s">
        <v>112</v>
      </c>
      <c r="D365" s="4" t="s">
        <v>79</v>
      </c>
      <c r="E365" s="4" t="s">
        <v>91</v>
      </c>
      <c r="F365" s="7" t="n">
        <v>15701.3333333333</v>
      </c>
      <c r="G365" s="7" t="n">
        <v>17527.6192278075</v>
      </c>
      <c r="H365" s="7" t="n">
        <v>276.774251153564</v>
      </c>
      <c r="I365" s="7" t="n">
        <v>148.753410097034</v>
      </c>
      <c r="J365" s="7" t="n">
        <v>210.640242237118</v>
      </c>
      <c r="K365" s="7" t="n">
        <v>596.05807792234</v>
      </c>
      <c r="L365" s="7" t="n">
        <v>448.061246849006</v>
      </c>
      <c r="M365" s="7" t="n">
        <v>521.534067108801</v>
      </c>
      <c r="N365" s="7" t="n">
        <v>652.875244243787</v>
      </c>
      <c r="O365" s="7" t="n">
        <v>702.164948956276</v>
      </c>
      <c r="P365" s="7" t="n">
        <v>2207.05943085303</v>
      </c>
      <c r="Q365" s="7" t="n">
        <v>5598.19477575322</v>
      </c>
      <c r="R365" s="7" t="n">
        <v>4423.83481943585</v>
      </c>
      <c r="S365" s="7" t="n">
        <v>1343.63885190306</v>
      </c>
      <c r="T365" s="7" t="n">
        <v>83.5030421313237</v>
      </c>
      <c r="U365" s="7" t="n">
        <v>568.29686216974</v>
      </c>
      <c r="V365" s="7" t="n">
        <v>173.358712924063</v>
      </c>
      <c r="W365" s="7" t="n">
        <v>309.503130802892</v>
      </c>
      <c r="X365" s="7" t="n">
        <v>8362.03171050513</v>
      </c>
      <c r="Y365" s="7" t="n">
        <v>9390.33333333333</v>
      </c>
      <c r="Z365" s="7" t="n">
        <v>13892.5</v>
      </c>
      <c r="AA365" s="7" t="n">
        <v>492.811025518699</v>
      </c>
      <c r="AB365" s="7" t="n">
        <v>7925.12314103676</v>
      </c>
    </row>
    <row r="366" customFormat="false" ht="15" hidden="false" customHeight="false" outlineLevel="0" collapsed="false">
      <c r="A366" s="4" t="s">
        <v>333</v>
      </c>
      <c r="B366" s="4" t="s">
        <v>334</v>
      </c>
      <c r="C366" s="4" t="s">
        <v>112</v>
      </c>
      <c r="D366" s="4" t="s">
        <v>79</v>
      </c>
      <c r="E366" s="4" t="s">
        <v>92</v>
      </c>
      <c r="F366" s="7" t="n">
        <v>4751.2062470298</v>
      </c>
      <c r="G366" s="7" t="n">
        <v>3001.92697555618</v>
      </c>
      <c r="H366" s="7" t="n">
        <v>12902.1975330963</v>
      </c>
      <c r="I366" s="7" t="n">
        <v>20147.4226835323</v>
      </c>
      <c r="J366" s="7" t="n">
        <v>39135.5025847851</v>
      </c>
      <c r="K366" s="7" t="n">
        <v>36797.9832940749</v>
      </c>
      <c r="L366" s="7" t="n">
        <v>41349.0764314183</v>
      </c>
      <c r="M366" s="7" t="n">
        <v>50945.6862502749</v>
      </c>
      <c r="N366" s="7" t="n">
        <v>41773.5178303869</v>
      </c>
      <c r="O366" s="7" t="n">
        <v>27845.0093423727</v>
      </c>
      <c r="P366" s="7" t="n">
        <v>2643.71112448094</v>
      </c>
      <c r="Q366" s="7" t="n">
        <v>4566.54646691834</v>
      </c>
      <c r="R366" s="7" t="n">
        <v>3626.84555385029</v>
      </c>
      <c r="S366" s="7" t="n">
        <v>6757.08165270922</v>
      </c>
      <c r="T366" s="7" t="n">
        <v>5161.80880170012</v>
      </c>
      <c r="U366" s="7" t="n">
        <v>6670.06700918874</v>
      </c>
      <c r="V366" s="7" t="n">
        <v>7924.21178762292</v>
      </c>
      <c r="W366" s="7" t="n">
        <v>6678.01622625333</v>
      </c>
      <c r="X366" s="7" t="n">
        <v>16103.5922707442</v>
      </c>
      <c r="Y366" s="7" t="n">
        <v>11321.2206718317</v>
      </c>
      <c r="Z366" s="7" t="n">
        <v>16591.820498209</v>
      </c>
      <c r="AA366" s="7" t="n">
        <v>205.373125333858</v>
      </c>
      <c r="AB366" s="7" t="n">
        <v>9372.80476512484</v>
      </c>
    </row>
    <row r="367" customFormat="false" ht="15" hidden="false" customHeight="false" outlineLevel="0" collapsed="false">
      <c r="A367" s="4" t="s">
        <v>333</v>
      </c>
      <c r="B367" s="4" t="s">
        <v>334</v>
      </c>
      <c r="C367" s="4" t="s">
        <v>112</v>
      </c>
      <c r="D367" s="4" t="s">
        <v>79</v>
      </c>
      <c r="E367" s="4" t="s">
        <v>93</v>
      </c>
      <c r="F367" s="7" t="n">
        <v>1135.63877108384</v>
      </c>
      <c r="G367" s="7" t="n">
        <v>151.966462710036</v>
      </c>
      <c r="H367" s="7" t="n">
        <v>57.6886665188117</v>
      </c>
      <c r="I367" s="7" t="n">
        <v>29.9803259373985</v>
      </c>
      <c r="J367" s="7" t="n">
        <v>36.8735896254604</v>
      </c>
      <c r="K367" s="7" t="n">
        <v>43.1355732520766</v>
      </c>
      <c r="L367" s="7" t="n">
        <v>41.1997131780463</v>
      </c>
      <c r="M367" s="7" t="n">
        <v>27.5510127698999</v>
      </c>
      <c r="N367" s="7" t="n">
        <v>22.5046183283505</v>
      </c>
      <c r="O367" s="7" t="n">
        <v>75.4138593729236</v>
      </c>
      <c r="P367" s="7" t="n">
        <v>34.5167593663915</v>
      </c>
      <c r="Q367" s="7" t="n">
        <v>76.6706387249856</v>
      </c>
      <c r="R367" s="7" t="n">
        <v>53.1383852602941</v>
      </c>
      <c r="S367" s="7" t="n">
        <v>68.0743327860895</v>
      </c>
      <c r="T367" s="7" t="n">
        <v>16.8679057014064</v>
      </c>
      <c r="U367" s="7" t="n">
        <v>116.558670479801</v>
      </c>
      <c r="V367" s="7" t="n">
        <v>1953.23850092491</v>
      </c>
      <c r="W367" s="7" t="n">
        <v>44.0006916371373</v>
      </c>
      <c r="X367" s="7" t="n">
        <v>77.0222004466601</v>
      </c>
      <c r="Y367" s="7" t="n">
        <v>748.451715936314</v>
      </c>
      <c r="Z367" s="7" t="n">
        <v>996.588720211556</v>
      </c>
      <c r="AA367" s="7" t="n">
        <v>90.9521459284696</v>
      </c>
      <c r="AB367" s="7" t="n">
        <v>62.8884824979399</v>
      </c>
    </row>
    <row r="368" customFormat="false" ht="15" hidden="false" customHeight="false" outlineLevel="0" collapsed="false">
      <c r="A368" s="4" t="s">
        <v>335</v>
      </c>
      <c r="B368" s="4" t="s">
        <v>336</v>
      </c>
      <c r="C368" s="4" t="s">
        <v>104</v>
      </c>
      <c r="D368" s="4" t="s">
        <v>41</v>
      </c>
      <c r="E368" s="4" t="s">
        <v>91</v>
      </c>
      <c r="F368" s="7" t="n">
        <v>186.54136503923</v>
      </c>
      <c r="G368" s="7" t="n">
        <v>100.220791525257</v>
      </c>
      <c r="H368" s="7" t="n">
        <v>18.2685157562495</v>
      </c>
      <c r="I368" s="7" t="n">
        <v>4.24061015930176</v>
      </c>
      <c r="J368" s="7" t="n">
        <v>23.3869460216328</v>
      </c>
      <c r="K368" s="7" t="n">
        <v>11.6222770572558</v>
      </c>
      <c r="L368" s="7" t="n">
        <v>11.4459788513184</v>
      </c>
      <c r="M368" s="7" t="n">
        <v>9.28524025098614</v>
      </c>
      <c r="N368" s="7" t="n">
        <v>23.558847450765</v>
      </c>
      <c r="O368" s="7" t="n">
        <v>193.213805232101</v>
      </c>
      <c r="P368" s="7" t="n">
        <v>82.1220161788522</v>
      </c>
      <c r="Q368" s="7" t="n">
        <v>75.3708787978827</v>
      </c>
      <c r="R368" s="7" t="n">
        <v>9.4294700164795</v>
      </c>
      <c r="S368" s="7" t="n">
        <v>56.5963776012944</v>
      </c>
      <c r="T368" s="7" t="n">
        <v>102.706173171997</v>
      </c>
      <c r="U368" s="7" t="n">
        <v>113.263089749576</v>
      </c>
      <c r="V368" s="7" t="n">
        <v>129.467864299424</v>
      </c>
      <c r="W368" s="7" t="n">
        <v>129.65519226146</v>
      </c>
      <c r="X368" s="7" t="n">
        <v>96.9121268141166</v>
      </c>
      <c r="Y368" s="7" t="n">
        <v>65.982152147157</v>
      </c>
      <c r="Z368" s="7" t="n">
        <v>77.446651312591</v>
      </c>
      <c r="AA368" s="7" t="n">
        <v>34.5669362390137</v>
      </c>
      <c r="AB368" s="7" t="n">
        <v>46.5993844145651</v>
      </c>
    </row>
    <row r="369" customFormat="false" ht="15" hidden="false" customHeight="false" outlineLevel="0" collapsed="false">
      <c r="A369" s="4" t="s">
        <v>335</v>
      </c>
      <c r="B369" s="4" t="s">
        <v>336</v>
      </c>
      <c r="C369" s="4" t="s">
        <v>104</v>
      </c>
      <c r="D369" s="4" t="s">
        <v>41</v>
      </c>
      <c r="E369" s="4" t="s">
        <v>92</v>
      </c>
      <c r="F369" s="7" t="n">
        <v>0</v>
      </c>
      <c r="G369" s="7" t="n">
        <v>0</v>
      </c>
      <c r="H369" s="7" t="n">
        <v>23.1850860819618</v>
      </c>
      <c r="I369" s="7" t="n">
        <v>56.9009035562673</v>
      </c>
      <c r="J369" s="7" t="n">
        <v>103.537037379521</v>
      </c>
      <c r="K369" s="7" t="n">
        <v>84.0495343322754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39.6673855917179</v>
      </c>
      <c r="U369" s="7" t="n">
        <v>83.4062198373473</v>
      </c>
      <c r="V369" s="7" t="n">
        <v>57.146936923876</v>
      </c>
      <c r="W369" s="7" t="n">
        <v>41.5798319710526</v>
      </c>
      <c r="X369" s="7" t="n">
        <v>22.1184268367551</v>
      </c>
      <c r="Y369" s="7" t="n">
        <v>0</v>
      </c>
      <c r="Z369" s="7" t="n">
        <v>0</v>
      </c>
      <c r="AA369" s="7" t="n">
        <v>0</v>
      </c>
      <c r="AB369" s="7" t="n">
        <v>0</v>
      </c>
    </row>
    <row r="370" customFormat="false" ht="15" hidden="false" customHeight="false" outlineLevel="0" collapsed="false">
      <c r="A370" s="4" t="s">
        <v>335</v>
      </c>
      <c r="B370" s="4" t="s">
        <v>336</v>
      </c>
      <c r="C370" s="4" t="s">
        <v>104</v>
      </c>
      <c r="D370" s="4" t="s">
        <v>41</v>
      </c>
      <c r="E370" s="4" t="s">
        <v>93</v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</row>
    <row r="371" customFormat="false" ht="15" hidden="false" customHeight="false" outlineLevel="0" collapsed="false">
      <c r="A371" s="4" t="s">
        <v>337</v>
      </c>
      <c r="B371" s="4" t="s">
        <v>338</v>
      </c>
      <c r="C371" s="4" t="s">
        <v>104</v>
      </c>
      <c r="D371" s="4" t="s">
        <v>41</v>
      </c>
      <c r="E371" s="4" t="s">
        <v>91</v>
      </c>
      <c r="F371" s="7" t="n">
        <v>208.529137937024</v>
      </c>
      <c r="G371" s="7" t="n">
        <v>191.267988011595</v>
      </c>
      <c r="H371" s="7" t="n">
        <v>54.4971306091309</v>
      </c>
      <c r="I371" s="7" t="n">
        <v>233.099070296846</v>
      </c>
      <c r="J371" s="7" t="n">
        <v>144.544870565796</v>
      </c>
      <c r="K371" s="7" t="n">
        <v>246.136749715014</v>
      </c>
      <c r="L371" s="7" t="n">
        <v>217.924866655501</v>
      </c>
      <c r="M371" s="7" t="n">
        <v>337.938330420963</v>
      </c>
      <c r="N371" s="7" t="n">
        <v>263.718746422047</v>
      </c>
      <c r="O371" s="7" t="n">
        <v>276.028933029642</v>
      </c>
      <c r="P371" s="7" t="n">
        <v>250.633001957553</v>
      </c>
      <c r="Q371" s="7" t="n">
        <v>308.597909861127</v>
      </c>
      <c r="R371" s="7" t="n">
        <v>301.325227819642</v>
      </c>
      <c r="S371" s="7" t="n">
        <v>300.773841697148</v>
      </c>
      <c r="T371" s="7" t="n">
        <v>183.044685577285</v>
      </c>
      <c r="U371" s="7" t="n">
        <v>495.266950110713</v>
      </c>
      <c r="V371" s="7" t="n">
        <v>480.990943380146</v>
      </c>
      <c r="W371" s="7" t="n">
        <v>513.772827675827</v>
      </c>
      <c r="X371" s="7" t="n">
        <v>160.618155381643</v>
      </c>
      <c r="Y371" s="7" t="n">
        <v>81.3583473362954</v>
      </c>
      <c r="Z371" s="7" t="n">
        <v>80.1431504620383</v>
      </c>
      <c r="AA371" s="7" t="n">
        <v>59.3378971137233</v>
      </c>
      <c r="AB371" s="7" t="n">
        <v>24.0298175655674</v>
      </c>
    </row>
    <row r="372" customFormat="false" ht="15" hidden="false" customHeight="false" outlineLevel="0" collapsed="false">
      <c r="A372" s="4" t="s">
        <v>337</v>
      </c>
      <c r="B372" s="4" t="s">
        <v>338</v>
      </c>
      <c r="C372" s="4" t="s">
        <v>104</v>
      </c>
      <c r="D372" s="4" t="s">
        <v>41</v>
      </c>
      <c r="E372" s="4" t="s">
        <v>92</v>
      </c>
      <c r="F372" s="7" t="n">
        <v>261.261292109407</v>
      </c>
      <c r="G372" s="7" t="n">
        <v>403.432664809138</v>
      </c>
      <c r="H372" s="7" t="n">
        <v>135.207942003295</v>
      </c>
      <c r="I372" s="7" t="n">
        <v>333.52521524031</v>
      </c>
      <c r="J372" s="7" t="n">
        <v>176.322328881948</v>
      </c>
      <c r="K372" s="7" t="n">
        <v>441.006531508059</v>
      </c>
      <c r="L372" s="7" t="n">
        <v>287.789728001176</v>
      </c>
      <c r="M372" s="7" t="n">
        <v>363.3538653787</v>
      </c>
      <c r="N372" s="7" t="n">
        <v>392.523922820031</v>
      </c>
      <c r="O372" s="7" t="n">
        <v>805.257798314053</v>
      </c>
      <c r="P372" s="7" t="n">
        <v>621.005298110788</v>
      </c>
      <c r="Q372" s="7" t="n">
        <v>525.359046877609</v>
      </c>
      <c r="R372" s="7" t="n">
        <v>581.704262409449</v>
      </c>
      <c r="S372" s="7" t="n">
        <v>467.329138637043</v>
      </c>
      <c r="T372" s="7" t="n">
        <v>262.746126613243</v>
      </c>
      <c r="U372" s="7" t="n">
        <v>513.95240186469</v>
      </c>
      <c r="V372" s="7" t="n">
        <v>402.314716191029</v>
      </c>
      <c r="W372" s="7" t="n">
        <v>621.117384823317</v>
      </c>
      <c r="X372" s="7" t="n">
        <v>310.34833760221</v>
      </c>
      <c r="Y372" s="7" t="n">
        <v>628.950079684771</v>
      </c>
      <c r="Z372" s="7" t="n">
        <v>439.039917880504</v>
      </c>
      <c r="AA372" s="7" t="n">
        <v>384.981145677666</v>
      </c>
      <c r="AB372" s="7" t="n">
        <v>153.698874447013</v>
      </c>
    </row>
    <row r="373" customFormat="false" ht="15" hidden="false" customHeight="false" outlineLevel="0" collapsed="false">
      <c r="A373" s="4" t="s">
        <v>337</v>
      </c>
      <c r="B373" s="4" t="s">
        <v>338</v>
      </c>
      <c r="C373" s="4" t="s">
        <v>104</v>
      </c>
      <c r="D373" s="4" t="s">
        <v>41</v>
      </c>
      <c r="E373" s="4" t="s">
        <v>93</v>
      </c>
      <c r="F373" s="7" t="n">
        <v>11500</v>
      </c>
      <c r="G373" s="7" t="n">
        <v>11500</v>
      </c>
      <c r="H373" s="7" t="n">
        <v>11500</v>
      </c>
      <c r="I373" s="7" t="n">
        <v>11500</v>
      </c>
      <c r="J373" s="7" t="n">
        <v>11500</v>
      </c>
      <c r="K373" s="7" t="n">
        <v>11500</v>
      </c>
      <c r="L373" s="7" t="n">
        <v>11500</v>
      </c>
      <c r="M373" s="7" t="n">
        <v>7200</v>
      </c>
      <c r="N373" s="7" t="n">
        <v>2900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</row>
    <row r="374" customFormat="false" ht="15" hidden="false" customHeight="false" outlineLevel="0" collapsed="false">
      <c r="A374" s="4" t="s">
        <v>339</v>
      </c>
      <c r="B374" s="4" t="s">
        <v>340</v>
      </c>
      <c r="C374" s="4" t="s">
        <v>99</v>
      </c>
      <c r="D374" s="4" t="s">
        <v>81</v>
      </c>
      <c r="E374" s="4" t="s">
        <v>91</v>
      </c>
      <c r="F374" s="7" t="n">
        <v>196.26618281992</v>
      </c>
      <c r="G374" s="7" t="n">
        <v>215.441855449339</v>
      </c>
      <c r="H374" s="7" t="n">
        <v>114.472667059326</v>
      </c>
      <c r="I374" s="7" t="n">
        <v>279.028396180707</v>
      </c>
      <c r="J374" s="7" t="n">
        <v>292.921230620405</v>
      </c>
      <c r="K374" s="7" t="n">
        <v>418.412301133315</v>
      </c>
      <c r="L374" s="7" t="n">
        <v>365.420551431549</v>
      </c>
      <c r="M374" s="7" t="n">
        <v>566.172816966554</v>
      </c>
      <c r="N374" s="7" t="n">
        <v>980.056672411633</v>
      </c>
      <c r="O374" s="7" t="n">
        <v>338.50116751843</v>
      </c>
      <c r="P374" s="7" t="n">
        <v>275.63690623583</v>
      </c>
      <c r="Q374" s="7" t="n">
        <v>478.23958508959</v>
      </c>
      <c r="R374" s="7" t="n">
        <v>34.8899212461704</v>
      </c>
      <c r="S374" s="7" t="n">
        <v>44.5477059853707</v>
      </c>
      <c r="T374" s="7" t="n">
        <v>17.4440314511288</v>
      </c>
      <c r="U374" s="7" t="n">
        <v>63.5887366760254</v>
      </c>
      <c r="V374" s="7" t="n">
        <v>162.293056066895</v>
      </c>
      <c r="W374" s="7" t="n">
        <v>331.770639764284</v>
      </c>
      <c r="X374" s="7" t="n">
        <v>118.980431824879</v>
      </c>
      <c r="Y374" s="7" t="n">
        <v>0</v>
      </c>
      <c r="Z374" s="7" t="n">
        <v>0</v>
      </c>
      <c r="AA374" s="7" t="n">
        <v>505.665746983412</v>
      </c>
      <c r="AB374" s="7" t="n">
        <v>347.377752366101</v>
      </c>
    </row>
    <row r="375" customFormat="false" ht="15" hidden="false" customHeight="false" outlineLevel="0" collapsed="false">
      <c r="A375" s="4" t="s">
        <v>339</v>
      </c>
      <c r="B375" s="4" t="s">
        <v>340</v>
      </c>
      <c r="C375" s="4" t="s">
        <v>99</v>
      </c>
      <c r="D375" s="4" t="s">
        <v>81</v>
      </c>
      <c r="E375" s="4" t="s">
        <v>92</v>
      </c>
      <c r="F375" s="7" t="n">
        <v>654.597013987344</v>
      </c>
      <c r="G375" s="7" t="n">
        <v>839.96754450028</v>
      </c>
      <c r="H375" s="7" t="n">
        <v>917.226624801307</v>
      </c>
      <c r="I375" s="7" t="n">
        <v>1043.06641445594</v>
      </c>
      <c r="J375" s="7" t="n">
        <v>1137.71105709382</v>
      </c>
      <c r="K375" s="7" t="n">
        <v>1389.56211329488</v>
      </c>
      <c r="L375" s="7" t="n">
        <v>1276.70893944763</v>
      </c>
      <c r="M375" s="7" t="n">
        <v>1073.83249682105</v>
      </c>
      <c r="N375" s="7" t="n">
        <v>1385.16451990976</v>
      </c>
      <c r="O375" s="7" t="n">
        <v>972.832653494945</v>
      </c>
      <c r="P375" s="7" t="n">
        <v>983.232162493462</v>
      </c>
      <c r="Q375" s="7" t="n">
        <v>1625.76735870222</v>
      </c>
      <c r="R375" s="7" t="n">
        <v>529.400818088403</v>
      </c>
      <c r="S375" s="7" t="n">
        <v>675.70741603676</v>
      </c>
      <c r="T375" s="7" t="n">
        <v>196.184907999411</v>
      </c>
      <c r="U375" s="7" t="n">
        <v>259.553836934455</v>
      </c>
      <c r="V375" s="7" t="n">
        <v>288.022693910223</v>
      </c>
      <c r="W375" s="7" t="n">
        <v>429.290146245716</v>
      </c>
      <c r="X375" s="7" t="n">
        <v>734.84915119514</v>
      </c>
      <c r="Y375" s="7" t="n">
        <v>951.717449029541</v>
      </c>
      <c r="Z375" s="7" t="n">
        <v>1138.88745741</v>
      </c>
      <c r="AA375" s="7" t="n">
        <v>314.974970932656</v>
      </c>
      <c r="AB375" s="7" t="n">
        <v>544.224950514735</v>
      </c>
    </row>
    <row r="376" customFormat="false" ht="15" hidden="false" customHeight="false" outlineLevel="0" collapsed="false">
      <c r="A376" s="4" t="s">
        <v>339</v>
      </c>
      <c r="B376" s="4" t="s">
        <v>340</v>
      </c>
      <c r="C376" s="4" t="s">
        <v>99</v>
      </c>
      <c r="D376" s="4" t="s">
        <v>81</v>
      </c>
      <c r="E376" s="4" t="s">
        <v>93</v>
      </c>
      <c r="F376" s="7" t="n">
        <v>195.765172127302</v>
      </c>
      <c r="G376" s="7" t="n">
        <v>393.462881660106</v>
      </c>
      <c r="H376" s="7" t="n">
        <v>485.27452540571</v>
      </c>
      <c r="I376" s="7" t="n">
        <v>389.758963300932</v>
      </c>
      <c r="J376" s="7" t="n">
        <v>471.201250753577</v>
      </c>
      <c r="K376" s="7" t="n">
        <v>419.72945964769</v>
      </c>
      <c r="L376" s="7" t="n">
        <v>765.886252986545</v>
      </c>
      <c r="M376" s="7" t="n">
        <v>380.746606548929</v>
      </c>
      <c r="N376" s="7" t="n">
        <v>641.880054503279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</row>
    <row r="377" customFormat="false" ht="15" hidden="false" customHeight="false" outlineLevel="0" collapsed="false">
      <c r="A377" s="4" t="s">
        <v>341</v>
      </c>
      <c r="B377" s="4" t="s">
        <v>342</v>
      </c>
      <c r="C377" s="4" t="s">
        <v>115</v>
      </c>
      <c r="D377" s="4" t="s">
        <v>39</v>
      </c>
      <c r="E377" s="4" t="s">
        <v>91</v>
      </c>
      <c r="F377" s="7" t="n">
        <v>4448.17960983812</v>
      </c>
      <c r="G377" s="7" t="n">
        <v>6355.66666666667</v>
      </c>
      <c r="H377" s="7" t="n">
        <v>4535</v>
      </c>
      <c r="I377" s="7" t="n">
        <v>7251.00837480605</v>
      </c>
      <c r="J377" s="7" t="n">
        <v>7636.45794134805</v>
      </c>
      <c r="K377" s="7" t="n">
        <v>4811.26029728949</v>
      </c>
      <c r="L377" s="7" t="n">
        <v>13298</v>
      </c>
      <c r="M377" s="7" t="n">
        <v>7890.76818400289</v>
      </c>
      <c r="N377" s="7" t="n">
        <v>6457.66666666667</v>
      </c>
      <c r="O377" s="7" t="n">
        <v>5456.05629907699</v>
      </c>
      <c r="P377" s="7" t="n">
        <v>5806.66666666667</v>
      </c>
      <c r="Q377" s="7" t="n">
        <v>269.318626159668</v>
      </c>
      <c r="R377" s="7" t="n">
        <v>1171.56646975783</v>
      </c>
      <c r="S377" s="7" t="n">
        <v>237.545045678711</v>
      </c>
      <c r="T377" s="7" t="n">
        <v>3530.31485447251</v>
      </c>
      <c r="U377" s="7" t="n">
        <v>4589.33333333333</v>
      </c>
      <c r="V377" s="7" t="n">
        <v>4039.42280557144</v>
      </c>
      <c r="W377" s="7" t="n">
        <v>2972.66666666667</v>
      </c>
      <c r="X377" s="7" t="n">
        <v>0.711500286865234</v>
      </c>
      <c r="Y377" s="7" t="n">
        <v>0</v>
      </c>
      <c r="Z377" s="7" t="n">
        <v>0</v>
      </c>
      <c r="AA377" s="7" t="n">
        <v>0</v>
      </c>
      <c r="AB377" s="7" t="n">
        <v>0</v>
      </c>
    </row>
    <row r="378" customFormat="false" ht="15" hidden="false" customHeight="false" outlineLevel="0" collapsed="false">
      <c r="A378" s="4" t="s">
        <v>341</v>
      </c>
      <c r="B378" s="4" t="s">
        <v>342</v>
      </c>
      <c r="C378" s="4" t="s">
        <v>115</v>
      </c>
      <c r="D378" s="4" t="s">
        <v>39</v>
      </c>
      <c r="E378" s="4" t="s">
        <v>92</v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4791.61812362446</v>
      </c>
      <c r="L378" s="7" t="n">
        <v>0</v>
      </c>
      <c r="M378" s="7" t="n">
        <v>994.477674724499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1627.9290315514</v>
      </c>
      <c r="AB378" s="7" t="n">
        <v>647.233168649659</v>
      </c>
    </row>
    <row r="379" customFormat="false" ht="15" hidden="false" customHeight="false" outlineLevel="0" collapsed="false">
      <c r="A379" s="4" t="s">
        <v>341</v>
      </c>
      <c r="B379" s="4" t="s">
        <v>342</v>
      </c>
      <c r="C379" s="4" t="s">
        <v>115</v>
      </c>
      <c r="D379" s="4" t="s">
        <v>39</v>
      </c>
      <c r="E379" s="4" t="s">
        <v>93</v>
      </c>
      <c r="F379" s="7" t="n">
        <v>330.273109973144</v>
      </c>
      <c r="G379" s="7" t="n">
        <v>305.21439640503</v>
      </c>
      <c r="H379" s="7" t="n">
        <v>276.651367462158</v>
      </c>
      <c r="I379" s="7" t="n">
        <v>387.705679875083</v>
      </c>
      <c r="J379" s="7" t="n">
        <v>448.400523443603</v>
      </c>
      <c r="K379" s="7" t="n">
        <v>560.764904572586</v>
      </c>
      <c r="L379" s="7" t="n">
        <v>452.00944029541</v>
      </c>
      <c r="M379" s="7" t="n">
        <v>860.517630032695</v>
      </c>
      <c r="N379" s="7" t="n">
        <v>233.492087982178</v>
      </c>
      <c r="O379" s="7" t="n">
        <v>208.540182727051</v>
      </c>
      <c r="P379" s="7" t="n">
        <v>458.40035065918</v>
      </c>
      <c r="Q379" s="7" t="n">
        <v>271.827744100198</v>
      </c>
      <c r="R379" s="7" t="n">
        <v>357.333333333333</v>
      </c>
      <c r="S379" s="7" t="n">
        <v>7562</v>
      </c>
      <c r="T379" s="7" t="n">
        <v>9170.00000000008</v>
      </c>
      <c r="U379" s="7" t="n">
        <v>12046.6666666667</v>
      </c>
      <c r="V379" s="7" t="n">
        <v>12283.3333333333</v>
      </c>
      <c r="W379" s="7" t="n">
        <v>14717.7777777777</v>
      </c>
      <c r="X379" s="7" t="n">
        <v>16493.7037037037</v>
      </c>
      <c r="Y379" s="7" t="n">
        <v>14498.2716049384</v>
      </c>
      <c r="Z379" s="7" t="n">
        <v>15605.740740741</v>
      </c>
      <c r="AA379" s="7" t="n">
        <v>16493.7037037043</v>
      </c>
      <c r="AB379" s="7" t="n">
        <v>15532.5720164613</v>
      </c>
    </row>
    <row r="380" customFormat="false" ht="15" hidden="false" customHeight="false" outlineLevel="0" collapsed="false">
      <c r="A380" s="4" t="s">
        <v>343</v>
      </c>
      <c r="B380" s="4" t="s">
        <v>344</v>
      </c>
      <c r="C380" s="4" t="s">
        <v>99</v>
      </c>
      <c r="D380" s="4" t="s">
        <v>77</v>
      </c>
      <c r="E380" s="4" t="s">
        <v>91</v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0.0692375305175781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</row>
    <row r="381" customFormat="false" ht="15" hidden="false" customHeight="false" outlineLevel="0" collapsed="false">
      <c r="A381" s="4" t="s">
        <v>343</v>
      </c>
      <c r="B381" s="4" t="s">
        <v>344</v>
      </c>
      <c r="C381" s="4" t="s">
        <v>99</v>
      </c>
      <c r="D381" s="4" t="s">
        <v>77</v>
      </c>
      <c r="E381" s="4" t="s">
        <v>92</v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</row>
    <row r="382" customFormat="false" ht="15" hidden="false" customHeight="false" outlineLevel="0" collapsed="false">
      <c r="A382" s="4" t="s">
        <v>343</v>
      </c>
      <c r="B382" s="4" t="s">
        <v>344</v>
      </c>
      <c r="C382" s="4" t="s">
        <v>99</v>
      </c>
      <c r="D382" s="4" t="s">
        <v>77</v>
      </c>
      <c r="E382" s="4" t="s">
        <v>93</v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</row>
    <row r="383" customFormat="false" ht="15" hidden="false" customHeight="false" outlineLevel="0" collapsed="false">
      <c r="A383" s="4" t="s">
        <v>345</v>
      </c>
      <c r="B383" s="4" t="s">
        <v>346</v>
      </c>
      <c r="C383" s="4" t="s">
        <v>99</v>
      </c>
      <c r="D383" s="4" t="s">
        <v>81</v>
      </c>
      <c r="E383" s="4" t="s">
        <v>91</v>
      </c>
      <c r="F383" s="7" t="n">
        <v>76.8496260925293</v>
      </c>
      <c r="G383" s="7" t="n">
        <v>4.59836396484375</v>
      </c>
      <c r="H383" s="7" t="n">
        <v>10.6876820678711</v>
      </c>
      <c r="I383" s="7" t="n">
        <v>66.3774207340404</v>
      </c>
      <c r="J383" s="7" t="n">
        <v>7.4514462077541</v>
      </c>
      <c r="K383" s="7" t="n">
        <v>13.6317617980957</v>
      </c>
      <c r="L383" s="7" t="n">
        <v>15.2792124145508</v>
      </c>
      <c r="M383" s="7" t="n">
        <v>97.1058623054527</v>
      </c>
      <c r="N383" s="7" t="n">
        <v>80.2400568489094</v>
      </c>
      <c r="O383" s="7" t="n">
        <v>54.5341038005556</v>
      </c>
      <c r="P383" s="7" t="n">
        <v>39.468840660639</v>
      </c>
      <c r="Q383" s="7" t="n">
        <v>88.5893568137503</v>
      </c>
      <c r="R383" s="7" t="n">
        <v>21.3069290495805</v>
      </c>
      <c r="S383" s="7" t="n">
        <v>14.5766610168645</v>
      </c>
      <c r="T383" s="7" t="n">
        <v>2.46804797604704</v>
      </c>
      <c r="U383" s="7" t="n">
        <v>0</v>
      </c>
      <c r="V383" s="7" t="n">
        <v>5.66759098510742</v>
      </c>
      <c r="W383" s="7" t="n">
        <v>2.35927736816406</v>
      </c>
      <c r="X383" s="7" t="n">
        <v>0</v>
      </c>
      <c r="Y383" s="7" t="n">
        <v>0</v>
      </c>
      <c r="Z383" s="7" t="n">
        <v>6.831742388429</v>
      </c>
      <c r="AA383" s="7" t="n">
        <v>7.56007033402925</v>
      </c>
      <c r="AB383" s="7" t="n">
        <v>12.488153304043</v>
      </c>
    </row>
    <row r="384" customFormat="false" ht="15" hidden="false" customHeight="false" outlineLevel="0" collapsed="false">
      <c r="A384" s="4" t="s">
        <v>345</v>
      </c>
      <c r="B384" s="4" t="s">
        <v>346</v>
      </c>
      <c r="C384" s="4" t="s">
        <v>99</v>
      </c>
      <c r="D384" s="4" t="s">
        <v>81</v>
      </c>
      <c r="E384" s="4" t="s">
        <v>92</v>
      </c>
      <c r="F384" s="7" t="n">
        <v>23.1482827575684</v>
      </c>
      <c r="G384" s="7" t="n">
        <v>37.6877875915527</v>
      </c>
      <c r="H384" s="7" t="n">
        <v>71.929418344942</v>
      </c>
      <c r="I384" s="7" t="n">
        <v>53.0454897273854</v>
      </c>
      <c r="J384" s="7" t="n">
        <v>47.7126605277028</v>
      </c>
      <c r="K384" s="7" t="n">
        <v>101.0016390625</v>
      </c>
      <c r="L384" s="7" t="n">
        <v>61.4649375366211</v>
      </c>
      <c r="M384" s="7" t="n">
        <v>5.34314062437838</v>
      </c>
      <c r="N384" s="7" t="n">
        <v>2.67552910079763</v>
      </c>
      <c r="O384" s="7" t="n">
        <v>1.85666079412315</v>
      </c>
      <c r="P384" s="7" t="n">
        <v>2.75882641699775</v>
      </c>
      <c r="Q384" s="7" t="n">
        <v>5.58597375631816</v>
      </c>
      <c r="R384" s="7" t="n">
        <v>1.80068562937455</v>
      </c>
      <c r="S384" s="7" t="n">
        <v>0.930662676983168</v>
      </c>
      <c r="T384" s="7" t="n">
        <v>0.0759767004666366</v>
      </c>
      <c r="U384" s="7" t="n">
        <v>0</v>
      </c>
      <c r="V384" s="7" t="n">
        <v>0.0631301513671875</v>
      </c>
      <c r="W384" s="7" t="n">
        <v>10.7406715515137</v>
      </c>
      <c r="X384" s="7" t="n">
        <v>11.694055847168</v>
      </c>
      <c r="Y384" s="7" t="n">
        <v>13.8660106872559</v>
      </c>
      <c r="Z384" s="7" t="n">
        <v>4.11676532031123</v>
      </c>
      <c r="AA384" s="7" t="n">
        <v>1.53826748945708</v>
      </c>
      <c r="AB384" s="7" t="n">
        <v>5.35324540201168</v>
      </c>
    </row>
    <row r="385" customFormat="false" ht="15" hidden="false" customHeight="false" outlineLevel="0" collapsed="false">
      <c r="A385" s="4" t="s">
        <v>345</v>
      </c>
      <c r="B385" s="4" t="s">
        <v>346</v>
      </c>
      <c r="C385" s="4" t="s">
        <v>99</v>
      </c>
      <c r="D385" s="4" t="s">
        <v>81</v>
      </c>
      <c r="E385" s="4" t="s">
        <v>93</v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n">
        <v>0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</row>
    <row r="386" customFormat="false" ht="15" hidden="false" customHeight="false" outlineLevel="0" collapsed="false">
      <c r="A386" s="4" t="s">
        <v>347</v>
      </c>
      <c r="B386" s="4" t="s">
        <v>348</v>
      </c>
      <c r="C386" s="4" t="s">
        <v>112</v>
      </c>
      <c r="D386" s="4" t="s">
        <v>79</v>
      </c>
      <c r="E386" s="4" t="s">
        <v>91</v>
      </c>
      <c r="F386" s="7" t="n">
        <v>3528.92823031715</v>
      </c>
      <c r="G386" s="7" t="n">
        <v>2024.22119342024</v>
      </c>
      <c r="H386" s="7" t="n">
        <v>672.512457114935</v>
      </c>
      <c r="I386" s="7" t="n">
        <v>4398.79909875061</v>
      </c>
      <c r="J386" s="7" t="n">
        <v>4968.8200577785</v>
      </c>
      <c r="K386" s="7" t="n">
        <v>10449.6666666667</v>
      </c>
      <c r="L386" s="7" t="n">
        <v>18610.3333333333</v>
      </c>
      <c r="M386" s="7" t="n">
        <v>21224</v>
      </c>
      <c r="N386" s="7" t="n">
        <v>14301</v>
      </c>
      <c r="O386" s="7" t="n">
        <v>58.0940856262207</v>
      </c>
      <c r="P386" s="7" t="n">
        <v>110.340370109337</v>
      </c>
      <c r="Q386" s="7" t="n">
        <v>114.343105880247</v>
      </c>
      <c r="R386" s="7" t="n">
        <v>127.925400817871</v>
      </c>
      <c r="S386" s="7" t="n">
        <v>146.146879871084</v>
      </c>
      <c r="T386" s="7" t="n">
        <v>98.0035152282715</v>
      </c>
      <c r="U386" s="7" t="n">
        <v>184.634695166016</v>
      </c>
      <c r="V386" s="7" t="n">
        <v>251.361353808163</v>
      </c>
      <c r="W386" s="7" t="n">
        <v>177.986457891846</v>
      </c>
      <c r="X386" s="7" t="n">
        <v>5181.46270799262</v>
      </c>
      <c r="Y386" s="7" t="n">
        <v>6712.20272494672</v>
      </c>
      <c r="Z386" s="7" t="n">
        <v>6273.11953020829</v>
      </c>
      <c r="AA386" s="7" t="n">
        <v>0</v>
      </c>
      <c r="AB386" s="7" t="n">
        <v>4328.44075171834</v>
      </c>
    </row>
    <row r="387" customFormat="false" ht="15" hidden="false" customHeight="false" outlineLevel="0" collapsed="false">
      <c r="A387" s="4" t="s">
        <v>347</v>
      </c>
      <c r="B387" s="4" t="s">
        <v>348</v>
      </c>
      <c r="C387" s="4" t="s">
        <v>112</v>
      </c>
      <c r="D387" s="4" t="s">
        <v>79</v>
      </c>
      <c r="E387" s="4" t="s">
        <v>92</v>
      </c>
      <c r="F387" s="7" t="n">
        <v>0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467.092668491876</v>
      </c>
      <c r="M387" s="7" t="n">
        <v>1540.74931696818</v>
      </c>
      <c r="N387" s="7" t="n">
        <v>1892.40834281271</v>
      </c>
      <c r="O387" s="7" t="n">
        <v>1994.38970405904</v>
      </c>
      <c r="P387" s="7" t="n">
        <v>2077.96484890371</v>
      </c>
      <c r="Q387" s="7" t="n">
        <v>3660.32839001488</v>
      </c>
      <c r="R387" s="7" t="n">
        <v>3435.97425842822</v>
      </c>
      <c r="S387" s="7" t="n">
        <v>2887.16215476919</v>
      </c>
      <c r="T387" s="7" t="n">
        <v>729.751061206985</v>
      </c>
      <c r="U387" s="7" t="n">
        <v>970.36012394576</v>
      </c>
      <c r="V387" s="7" t="n">
        <v>1392.06263294325</v>
      </c>
      <c r="W387" s="7" t="n">
        <v>1047.18314783645</v>
      </c>
      <c r="X387" s="7" t="n">
        <v>1123.07806489363</v>
      </c>
      <c r="Y387" s="7" t="n">
        <v>525.423175442305</v>
      </c>
      <c r="Z387" s="7" t="n">
        <v>852.84460002511</v>
      </c>
      <c r="AA387" s="7" t="n">
        <v>321.268785970816</v>
      </c>
      <c r="AB387" s="7" t="n">
        <v>566.512187146077</v>
      </c>
    </row>
    <row r="388" customFormat="false" ht="15" hidden="false" customHeight="false" outlineLevel="0" collapsed="false">
      <c r="A388" s="4" t="s">
        <v>347</v>
      </c>
      <c r="B388" s="4" t="s">
        <v>348</v>
      </c>
      <c r="C388" s="4" t="s">
        <v>112</v>
      </c>
      <c r="D388" s="4" t="s">
        <v>79</v>
      </c>
      <c r="E388" s="4" t="s">
        <v>93</v>
      </c>
      <c r="F388" s="7" t="n">
        <v>62.015208512383</v>
      </c>
      <c r="G388" s="7" t="n">
        <v>71.5686317152271</v>
      </c>
      <c r="H388" s="7" t="n">
        <v>70.9194789851764</v>
      </c>
      <c r="I388" s="7" t="n">
        <v>63.5898373923735</v>
      </c>
      <c r="J388" s="7" t="n">
        <v>40.380375176131</v>
      </c>
      <c r="K388" s="7" t="n">
        <v>54.2099714973317</v>
      </c>
      <c r="L388" s="7" t="n">
        <v>37.5974327761397</v>
      </c>
      <c r="M388" s="7" t="n">
        <v>43.49428818329</v>
      </c>
      <c r="N388" s="7" t="n">
        <v>59.0375744462284</v>
      </c>
      <c r="O388" s="7" t="n">
        <v>68.4867453043509</v>
      </c>
      <c r="P388" s="7" t="n">
        <v>142.049634818452</v>
      </c>
      <c r="Q388" s="7" t="n">
        <v>84.5193384378877</v>
      </c>
      <c r="R388" s="7" t="n">
        <v>122.543907478739</v>
      </c>
      <c r="S388" s="7" t="n">
        <v>110.607539711667</v>
      </c>
      <c r="T388" s="7" t="n">
        <v>30.2766827862544</v>
      </c>
      <c r="U388" s="7" t="n">
        <v>104.07817412599</v>
      </c>
      <c r="V388" s="7" t="n">
        <v>85.8513516178211</v>
      </c>
      <c r="W388" s="7" t="n">
        <v>88.7229969137729</v>
      </c>
      <c r="X388" s="7" t="n">
        <v>76.6346049032358</v>
      </c>
      <c r="Y388" s="7" t="n">
        <v>116.679335979861</v>
      </c>
      <c r="Z388" s="7" t="n">
        <v>67.0585236885656</v>
      </c>
      <c r="AA388" s="7" t="n">
        <v>76.7832845005147</v>
      </c>
      <c r="AB388" s="7" t="n">
        <v>65.0911432541685</v>
      </c>
    </row>
    <row r="389" customFormat="false" ht="15" hidden="false" customHeight="false" outlineLevel="0" collapsed="false">
      <c r="A389" s="4" t="s">
        <v>349</v>
      </c>
      <c r="B389" s="4" t="s">
        <v>350</v>
      </c>
      <c r="C389" s="4" t="s">
        <v>107</v>
      </c>
      <c r="D389" s="4" t="s">
        <v>79</v>
      </c>
      <c r="E389" s="4" t="s">
        <v>91</v>
      </c>
      <c r="F389" s="7" t="n">
        <v>5517.26466617901</v>
      </c>
      <c r="G389" s="7" t="n">
        <v>4458.180364334</v>
      </c>
      <c r="H389" s="7" t="n">
        <v>3693.06951862944</v>
      </c>
      <c r="I389" s="7" t="n">
        <v>7384.56039035504</v>
      </c>
      <c r="J389" s="7" t="n">
        <v>15890.9908045126</v>
      </c>
      <c r="K389" s="7" t="n">
        <v>7858.60973512784</v>
      </c>
      <c r="L389" s="7" t="n">
        <v>11155.0315479454</v>
      </c>
      <c r="M389" s="7" t="n">
        <v>12508.0503064201</v>
      </c>
      <c r="N389" s="7" t="n">
        <v>14832.0738779821</v>
      </c>
      <c r="O389" s="7" t="n">
        <v>42400.6403871691</v>
      </c>
      <c r="P389" s="7" t="n">
        <v>63175.3398558104</v>
      </c>
      <c r="Q389" s="7" t="n">
        <v>131553</v>
      </c>
      <c r="R389" s="7" t="n">
        <v>91520.3333333333</v>
      </c>
      <c r="S389" s="7" t="n">
        <v>82444.6666666667</v>
      </c>
      <c r="T389" s="7" t="n">
        <v>72324.8251410479</v>
      </c>
      <c r="U389" s="7" t="n">
        <v>99273.3333333333</v>
      </c>
      <c r="V389" s="7" t="n">
        <v>112677.666666667</v>
      </c>
      <c r="W389" s="7" t="n">
        <v>60343.3333333333</v>
      </c>
      <c r="X389" s="7" t="n">
        <v>75777</v>
      </c>
      <c r="Y389" s="7" t="n">
        <v>50262.6994267627</v>
      </c>
      <c r="Z389" s="7" t="n">
        <v>13237.1568539204</v>
      </c>
      <c r="AA389" s="7" t="n">
        <v>25285.607637838</v>
      </c>
      <c r="AB389" s="7" t="n">
        <v>18587.0527425753</v>
      </c>
    </row>
    <row r="390" customFormat="false" ht="15" hidden="false" customHeight="false" outlineLevel="0" collapsed="false">
      <c r="A390" s="4" t="s">
        <v>349</v>
      </c>
      <c r="B390" s="4" t="s">
        <v>350</v>
      </c>
      <c r="C390" s="4" t="s">
        <v>107</v>
      </c>
      <c r="D390" s="4" t="s">
        <v>79</v>
      </c>
      <c r="E390" s="4" t="s">
        <v>92</v>
      </c>
      <c r="F390" s="7" t="n">
        <v>27678.5101928553</v>
      </c>
      <c r="G390" s="7" t="n">
        <v>31668.490891938</v>
      </c>
      <c r="H390" s="7" t="n">
        <v>31587.9917756636</v>
      </c>
      <c r="I390" s="7" t="n">
        <v>42363.7934659178</v>
      </c>
      <c r="J390" s="7" t="n">
        <v>65504.6137761397</v>
      </c>
      <c r="K390" s="7" t="n">
        <v>37016.6396335052</v>
      </c>
      <c r="L390" s="7" t="n">
        <v>52317.2536037256</v>
      </c>
      <c r="M390" s="7" t="n">
        <v>58230.1322159968</v>
      </c>
      <c r="N390" s="7" t="n">
        <v>87825.9299419909</v>
      </c>
      <c r="O390" s="7" t="n">
        <v>38419.1369522217</v>
      </c>
      <c r="P390" s="7" t="n">
        <v>3629.54041835353</v>
      </c>
      <c r="Q390" s="7" t="n">
        <v>8736.29442414606</v>
      </c>
      <c r="R390" s="7" t="n">
        <v>5620.27405157907</v>
      </c>
      <c r="S390" s="7" t="n">
        <v>10077.0304143815</v>
      </c>
      <c r="T390" s="7" t="n">
        <v>5630.38088871551</v>
      </c>
      <c r="U390" s="7" t="n">
        <v>6161.94273068891</v>
      </c>
      <c r="V390" s="7" t="n">
        <v>9047.02773057591</v>
      </c>
      <c r="W390" s="7" t="n">
        <v>36789.373477702</v>
      </c>
      <c r="X390" s="7" t="n">
        <v>37844.4226190623</v>
      </c>
      <c r="Y390" s="7" t="n">
        <v>83202.0958790817</v>
      </c>
      <c r="Z390" s="7" t="n">
        <v>3699.35049801169</v>
      </c>
      <c r="AA390" s="7" t="n">
        <v>85319.0576019395</v>
      </c>
      <c r="AB390" s="7" t="n">
        <v>49589.6016483085</v>
      </c>
    </row>
    <row r="391" customFormat="false" ht="15" hidden="false" customHeight="false" outlineLevel="0" collapsed="false">
      <c r="A391" s="4" t="s">
        <v>349</v>
      </c>
      <c r="B391" s="4" t="s">
        <v>350</v>
      </c>
      <c r="C391" s="4" t="s">
        <v>107</v>
      </c>
      <c r="D391" s="4" t="s">
        <v>79</v>
      </c>
      <c r="E391" s="4" t="s">
        <v>93</v>
      </c>
      <c r="F391" s="7" t="n">
        <v>10.9224770587139</v>
      </c>
      <c r="G391" s="7" t="n">
        <v>25.5115208669254</v>
      </c>
      <c r="H391" s="7" t="n">
        <v>12.5230987734655</v>
      </c>
      <c r="I391" s="7" t="n">
        <v>16.4733746368189</v>
      </c>
      <c r="J391" s="7" t="n">
        <v>23.1627990441186</v>
      </c>
      <c r="K391" s="7" t="n">
        <v>17.1559487269871</v>
      </c>
      <c r="L391" s="7" t="n">
        <v>24.0086012068642</v>
      </c>
      <c r="M391" s="7" t="n">
        <v>23.5045614034637</v>
      </c>
      <c r="N391" s="7" t="n">
        <v>30.4343182717489</v>
      </c>
      <c r="O391" s="7" t="n">
        <v>30.0054663574663</v>
      </c>
      <c r="P391" s="7" t="n">
        <v>42.4748620171803</v>
      </c>
      <c r="Q391" s="7" t="n">
        <v>60.4924074261026</v>
      </c>
      <c r="R391" s="7" t="n">
        <v>109.383114072867</v>
      </c>
      <c r="S391" s="7" t="n">
        <v>132.48328517501</v>
      </c>
      <c r="T391" s="7" t="n">
        <v>71.7589611014352</v>
      </c>
      <c r="U391" s="7" t="n">
        <v>132.602292921263</v>
      </c>
      <c r="V391" s="7" t="n">
        <v>351.214320542015</v>
      </c>
      <c r="W391" s="7" t="n">
        <v>139.936351790145</v>
      </c>
      <c r="X391" s="7" t="n">
        <v>99.4952995923839</v>
      </c>
      <c r="Y391" s="7" t="n">
        <v>75.0488087012288</v>
      </c>
      <c r="Z391" s="7" t="n">
        <v>134.639568549302</v>
      </c>
      <c r="AA391" s="7" t="n">
        <v>90.4870541175635</v>
      </c>
      <c r="AB391" s="7" t="n">
        <v>124.325018505736</v>
      </c>
    </row>
    <row r="392" customFormat="false" ht="15" hidden="false" customHeight="false" outlineLevel="0" collapsed="false">
      <c r="A392" s="4" t="s">
        <v>351</v>
      </c>
      <c r="B392" s="4" t="s">
        <v>352</v>
      </c>
      <c r="C392" s="4" t="s">
        <v>146</v>
      </c>
      <c r="D392" s="4" t="s">
        <v>47</v>
      </c>
      <c r="E392" s="4" t="s">
        <v>91</v>
      </c>
      <c r="F392" s="7" t="n">
        <v>23369.6152655032</v>
      </c>
      <c r="G392" s="7" t="n">
        <v>21640.2477698221</v>
      </c>
      <c r="H392" s="7" t="n">
        <v>25248.0415109138</v>
      </c>
      <c r="I392" s="7" t="n">
        <v>32461.1758918095</v>
      </c>
      <c r="J392" s="7" t="n">
        <v>34723.5781265166</v>
      </c>
      <c r="K392" s="7" t="n">
        <v>38951.7074982213</v>
      </c>
      <c r="L392" s="7" t="n">
        <v>46127.0209445588</v>
      </c>
      <c r="M392" s="7" t="n">
        <v>25279.7611932892</v>
      </c>
      <c r="N392" s="7" t="n">
        <v>40990.7969466483</v>
      </c>
      <c r="O392" s="7" t="n">
        <v>69647.0972634458</v>
      </c>
      <c r="P392" s="7" t="n">
        <v>21910.995703675</v>
      </c>
      <c r="Q392" s="7" t="n">
        <v>35100.8445408841</v>
      </c>
      <c r="R392" s="7" t="n">
        <v>31018.8251174509</v>
      </c>
      <c r="S392" s="7" t="n">
        <v>53207.1856442221</v>
      </c>
      <c r="T392" s="7" t="n">
        <v>38087.9727754924</v>
      </c>
      <c r="U392" s="7" t="n">
        <v>35431.6856122074</v>
      </c>
      <c r="V392" s="7" t="n">
        <v>30426.515004002</v>
      </c>
      <c r="W392" s="7" t="n">
        <v>32791.2304706652</v>
      </c>
      <c r="X392" s="7" t="n">
        <v>17648.539367869</v>
      </c>
      <c r="Y392" s="7" t="n">
        <v>37215.7412023508</v>
      </c>
      <c r="Z392" s="7" t="n">
        <v>28955.961780333</v>
      </c>
      <c r="AA392" s="7" t="n">
        <v>44641.7304523921</v>
      </c>
      <c r="AB392" s="7" t="n">
        <v>26708.8816561722</v>
      </c>
    </row>
    <row r="393" customFormat="false" ht="15" hidden="false" customHeight="false" outlineLevel="0" collapsed="false">
      <c r="A393" s="4" t="s">
        <v>351</v>
      </c>
      <c r="B393" s="4" t="s">
        <v>352</v>
      </c>
      <c r="C393" s="4" t="s">
        <v>146</v>
      </c>
      <c r="D393" s="4" t="s">
        <v>47</v>
      </c>
      <c r="E393" s="4" t="s">
        <v>92</v>
      </c>
      <c r="F393" s="7" t="n">
        <v>1040.64621861867</v>
      </c>
      <c r="G393" s="7" t="n">
        <v>1340.50211937195</v>
      </c>
      <c r="H393" s="7" t="n">
        <v>1066.70301660624</v>
      </c>
      <c r="I393" s="7" t="n">
        <v>1470.65119559832</v>
      </c>
      <c r="J393" s="7" t="n">
        <v>775.209233704038</v>
      </c>
      <c r="K393" s="7" t="n">
        <v>1494.60177304152</v>
      </c>
      <c r="L393" s="7" t="n">
        <v>3453.05234640905</v>
      </c>
      <c r="M393" s="7" t="n">
        <v>1813.27162648436</v>
      </c>
      <c r="N393" s="7" t="n">
        <v>1782.3864532747</v>
      </c>
      <c r="O393" s="7" t="n">
        <v>1218.99142868966</v>
      </c>
      <c r="P393" s="7" t="n">
        <v>630.883711476581</v>
      </c>
      <c r="Q393" s="7" t="n">
        <v>5040.76592146126</v>
      </c>
      <c r="R393" s="7" t="n">
        <v>5037.90481629777</v>
      </c>
      <c r="S393" s="7" t="n">
        <v>9109.39217290002</v>
      </c>
      <c r="T393" s="7" t="n">
        <v>2800.36127749932</v>
      </c>
      <c r="U393" s="7" t="n">
        <v>3656.58443054371</v>
      </c>
      <c r="V393" s="7" t="n">
        <v>3300.74091614364</v>
      </c>
      <c r="W393" s="7" t="n">
        <v>4021.42930418739</v>
      </c>
      <c r="X393" s="7" t="n">
        <v>7443.54980445477</v>
      </c>
      <c r="Y393" s="7" t="n">
        <v>8896.26236895282</v>
      </c>
      <c r="Z393" s="7" t="n">
        <v>8304.3441274877</v>
      </c>
      <c r="AA393" s="7" t="n">
        <v>5631.75585769599</v>
      </c>
      <c r="AB393" s="7" t="n">
        <v>5059.15372634723</v>
      </c>
    </row>
    <row r="394" customFormat="false" ht="15" hidden="false" customHeight="false" outlineLevel="0" collapsed="false">
      <c r="A394" s="4" t="s">
        <v>351</v>
      </c>
      <c r="B394" s="4" t="s">
        <v>352</v>
      </c>
      <c r="C394" s="4" t="s">
        <v>146</v>
      </c>
      <c r="D394" s="4" t="s">
        <v>47</v>
      </c>
      <c r="E394" s="4" t="s">
        <v>93</v>
      </c>
      <c r="F394" s="7" t="n">
        <v>769.603699996945</v>
      </c>
      <c r="G394" s="7" t="n">
        <v>780.810225897667</v>
      </c>
      <c r="H394" s="7" t="n">
        <v>1024.57117133312</v>
      </c>
      <c r="I394" s="7" t="n">
        <v>2246.83689149703</v>
      </c>
      <c r="J394" s="7" t="n">
        <v>1535.69764005856</v>
      </c>
      <c r="K394" s="7" t="n">
        <v>1799.65062077641</v>
      </c>
      <c r="L394" s="7" t="n">
        <v>1551.45330021546</v>
      </c>
      <c r="M394" s="7" t="n">
        <v>1155.26166362582</v>
      </c>
      <c r="N394" s="7" t="n">
        <v>1310.89024488468</v>
      </c>
      <c r="O394" s="7" t="n">
        <v>1224.52823334196</v>
      </c>
      <c r="P394" s="7" t="n">
        <v>1221.60752565844</v>
      </c>
      <c r="Q394" s="7" t="n">
        <v>1615.78761532876</v>
      </c>
      <c r="R394" s="7" t="n">
        <v>2323.40470337883</v>
      </c>
      <c r="S394" s="7" t="n">
        <v>2355.58011380664</v>
      </c>
      <c r="T394" s="7" t="n">
        <v>1491.01193443373</v>
      </c>
      <c r="U394" s="7" t="n">
        <v>2343.36645323461</v>
      </c>
      <c r="V394" s="7" t="n">
        <v>2996.66666666667</v>
      </c>
      <c r="W394" s="7" t="n">
        <v>2640.47376561745</v>
      </c>
      <c r="X394" s="7" t="n">
        <v>1496.16227040017</v>
      </c>
      <c r="Y394" s="7" t="n">
        <v>2146.17702924684</v>
      </c>
      <c r="Z394" s="7" t="n">
        <v>1017.26170368476</v>
      </c>
      <c r="AA394" s="7" t="n">
        <v>2997.40740740742</v>
      </c>
      <c r="AB394" s="7" t="n">
        <v>507.197196941983</v>
      </c>
    </row>
    <row r="395" customFormat="false" ht="15" hidden="false" customHeight="false" outlineLevel="0" collapsed="false">
      <c r="A395" s="4" t="s">
        <v>353</v>
      </c>
      <c r="B395" s="4" t="s">
        <v>354</v>
      </c>
      <c r="C395" s="4" t="s">
        <v>115</v>
      </c>
      <c r="D395" s="4" t="s">
        <v>39</v>
      </c>
      <c r="E395" s="4" t="s">
        <v>91</v>
      </c>
      <c r="F395" s="7" t="n">
        <v>16103</v>
      </c>
      <c r="G395" s="7" t="n">
        <v>24189.6666666667</v>
      </c>
      <c r="H395" s="7" t="n">
        <v>15274.148474759</v>
      </c>
      <c r="I395" s="7" t="n">
        <v>30078.3278735297</v>
      </c>
      <c r="J395" s="7" t="n">
        <v>18693.1693347098</v>
      </c>
      <c r="K395" s="7" t="n">
        <v>28991.2994692425</v>
      </c>
      <c r="L395" s="7" t="n">
        <v>21997.3333333333</v>
      </c>
      <c r="M395" s="7" t="n">
        <v>34992</v>
      </c>
      <c r="N395" s="7" t="n">
        <v>20883.3333333333</v>
      </c>
      <c r="O395" s="7" t="n">
        <v>11884.0622693547</v>
      </c>
      <c r="P395" s="7" t="n">
        <v>12584.5143062393</v>
      </c>
      <c r="Q395" s="7" t="n">
        <v>29875.7221336573</v>
      </c>
      <c r="R395" s="7" t="n">
        <v>26025.3333333333</v>
      </c>
      <c r="S395" s="7" t="n">
        <v>50963</v>
      </c>
      <c r="T395" s="7" t="n">
        <v>36728.3891068778</v>
      </c>
      <c r="U395" s="7" t="n">
        <v>35775.8031292227</v>
      </c>
      <c r="V395" s="7" t="n">
        <v>4883.5087400696</v>
      </c>
      <c r="W395" s="7" t="n">
        <v>4963.91248675996</v>
      </c>
      <c r="X395" s="7" t="n">
        <v>6187.75329040763</v>
      </c>
      <c r="Y395" s="7" t="n">
        <v>7080.29438745775</v>
      </c>
      <c r="Z395" s="7" t="n">
        <v>8039.15869436211</v>
      </c>
      <c r="AA395" s="7" t="n">
        <v>8716.65053910004</v>
      </c>
      <c r="AB395" s="7" t="n">
        <v>7945.36787363997</v>
      </c>
    </row>
    <row r="396" customFormat="false" ht="15" hidden="false" customHeight="false" outlineLevel="0" collapsed="false">
      <c r="A396" s="4" t="s">
        <v>353</v>
      </c>
      <c r="B396" s="4" t="s">
        <v>354</v>
      </c>
      <c r="C396" s="4" t="s">
        <v>115</v>
      </c>
      <c r="D396" s="4" t="s">
        <v>39</v>
      </c>
      <c r="E396" s="4" t="s">
        <v>92</v>
      </c>
      <c r="F396" s="7" t="n">
        <v>4916.0620720168</v>
      </c>
      <c r="G396" s="7" t="n">
        <v>7641.19249052363</v>
      </c>
      <c r="H396" s="7" t="n">
        <v>4504.33388984193</v>
      </c>
      <c r="I396" s="7" t="n">
        <v>4757.97752077544</v>
      </c>
      <c r="J396" s="7" t="n">
        <v>2677.38318178563</v>
      </c>
      <c r="K396" s="7" t="n">
        <v>4807.19152067071</v>
      </c>
      <c r="L396" s="7" t="n">
        <v>4822.60379378927</v>
      </c>
      <c r="M396" s="7" t="n">
        <v>8084.66800843263</v>
      </c>
      <c r="N396" s="7" t="n">
        <v>5564.33509952041</v>
      </c>
      <c r="O396" s="7" t="n">
        <v>2401.28670652214</v>
      </c>
      <c r="P396" s="7" t="n">
        <v>2976.98921140659</v>
      </c>
      <c r="Q396" s="7" t="n">
        <v>8213.78320130155</v>
      </c>
      <c r="R396" s="7" t="n">
        <v>6618.6513859757</v>
      </c>
      <c r="S396" s="7" t="n">
        <v>9765.51985642429</v>
      </c>
      <c r="T396" s="7" t="n">
        <v>4887.61308227012</v>
      </c>
      <c r="U396" s="7" t="n">
        <v>5678.43584478733</v>
      </c>
      <c r="V396" s="7" t="n">
        <v>2831.92590230044</v>
      </c>
      <c r="W396" s="7" t="n">
        <v>2942.84257179774</v>
      </c>
      <c r="X396" s="7" t="n">
        <v>3501.42296438512</v>
      </c>
      <c r="Y396" s="7" t="n">
        <v>4170.024426128</v>
      </c>
      <c r="Z396" s="7" t="n">
        <v>4609.50667311859</v>
      </c>
      <c r="AA396" s="7" t="n">
        <v>5156.37556278406</v>
      </c>
      <c r="AB396" s="7" t="n">
        <v>4645.30222067688</v>
      </c>
    </row>
    <row r="397" customFormat="false" ht="15" hidden="false" customHeight="false" outlineLevel="0" collapsed="false">
      <c r="A397" s="4" t="s">
        <v>353</v>
      </c>
      <c r="B397" s="4" t="s">
        <v>354</v>
      </c>
      <c r="C397" s="4" t="s">
        <v>115</v>
      </c>
      <c r="D397" s="4" t="s">
        <v>39</v>
      </c>
      <c r="E397" s="4" t="s">
        <v>93</v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</row>
    <row r="398" customFormat="false" ht="15" hidden="false" customHeight="false" outlineLevel="0" collapsed="false">
      <c r="A398" s="4" t="s">
        <v>355</v>
      </c>
      <c r="B398" s="4" t="s">
        <v>356</v>
      </c>
      <c r="C398" s="4" t="s">
        <v>104</v>
      </c>
      <c r="D398" s="4" t="s">
        <v>41</v>
      </c>
      <c r="E398" s="4" t="s">
        <v>91</v>
      </c>
      <c r="F398" s="7" t="n">
        <v>263.173456583862</v>
      </c>
      <c r="G398" s="7" t="n">
        <v>211.594062365041</v>
      </c>
      <c r="H398" s="7" t="n">
        <v>141.125574825511</v>
      </c>
      <c r="I398" s="7" t="n">
        <v>91.848382674381</v>
      </c>
      <c r="J398" s="7" t="n">
        <v>232.669420448513</v>
      </c>
      <c r="K398" s="7" t="n">
        <v>96.9246292994361</v>
      </c>
      <c r="L398" s="7" t="n">
        <v>149.451066406777</v>
      </c>
      <c r="M398" s="7" t="n">
        <v>187.425365830114</v>
      </c>
      <c r="N398" s="7" t="n">
        <v>187.079652767131</v>
      </c>
      <c r="O398" s="7" t="n">
        <v>240.227525554235</v>
      </c>
      <c r="P398" s="7" t="n">
        <v>301.087167279376</v>
      </c>
      <c r="Q398" s="7" t="n">
        <v>343.152484650209</v>
      </c>
      <c r="R398" s="7" t="n">
        <v>353.549778125838</v>
      </c>
      <c r="S398" s="7" t="n">
        <v>614.91192951497</v>
      </c>
      <c r="T398" s="7" t="n">
        <v>625.980664364116</v>
      </c>
      <c r="U398" s="7" t="n">
        <v>1655.26958967389</v>
      </c>
      <c r="V398" s="7" t="n">
        <v>2311.29216422373</v>
      </c>
      <c r="W398" s="7" t="n">
        <v>2240.40719746683</v>
      </c>
      <c r="X398" s="7" t="n">
        <v>651.268580594865</v>
      </c>
      <c r="Y398" s="7" t="n">
        <v>344.23230312348</v>
      </c>
      <c r="Z398" s="7" t="n">
        <v>280.258909131733</v>
      </c>
      <c r="AA398" s="7" t="n">
        <v>6.11599389761979</v>
      </c>
      <c r="AB398" s="7" t="n">
        <v>51.4244275545085</v>
      </c>
    </row>
    <row r="399" customFormat="false" ht="15" hidden="false" customHeight="false" outlineLevel="0" collapsed="false">
      <c r="A399" s="4" t="s">
        <v>355</v>
      </c>
      <c r="B399" s="4" t="s">
        <v>356</v>
      </c>
      <c r="C399" s="4" t="s">
        <v>104</v>
      </c>
      <c r="D399" s="4" t="s">
        <v>41</v>
      </c>
      <c r="E399" s="4" t="s">
        <v>92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0</v>
      </c>
      <c r="M399" s="7" t="n">
        <v>522.868115836599</v>
      </c>
      <c r="N399" s="7" t="n">
        <v>571.568038455015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299.942477242088</v>
      </c>
      <c r="T399" s="7" t="n">
        <v>103.480800436048</v>
      </c>
      <c r="U399" s="7" t="n">
        <v>0</v>
      </c>
      <c r="V399" s="7" t="n">
        <v>87.981803500037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262.361155773472</v>
      </c>
      <c r="AB399" s="7" t="n">
        <v>214.565701819797</v>
      </c>
    </row>
    <row r="400" customFormat="false" ht="15" hidden="false" customHeight="false" outlineLevel="0" collapsed="false">
      <c r="A400" s="4" t="s">
        <v>355</v>
      </c>
      <c r="B400" s="4" t="s">
        <v>356</v>
      </c>
      <c r="C400" s="4" t="s">
        <v>104</v>
      </c>
      <c r="D400" s="4" t="s">
        <v>41</v>
      </c>
      <c r="E400" s="4" t="s">
        <v>93</v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266.666666666667</v>
      </c>
      <c r="N400" s="7" t="n">
        <v>533.333333333333</v>
      </c>
      <c r="O400" s="7" t="n">
        <v>800</v>
      </c>
      <c r="P400" s="7" t="n">
        <v>800</v>
      </c>
      <c r="Q400" s="7" t="n">
        <v>800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</row>
    <row r="401" customFormat="false" ht="15" hidden="false" customHeight="false" outlineLevel="0" collapsed="false">
      <c r="A401" s="4" t="s">
        <v>357</v>
      </c>
      <c r="B401" s="4" t="s">
        <v>358</v>
      </c>
      <c r="C401" s="4" t="s">
        <v>112</v>
      </c>
      <c r="D401" s="4" t="s">
        <v>79</v>
      </c>
      <c r="E401" s="4" t="s">
        <v>91</v>
      </c>
      <c r="F401" s="7" t="n">
        <v>200.785506005046</v>
      </c>
      <c r="G401" s="7" t="n">
        <v>88.4528219268679</v>
      </c>
      <c r="H401" s="7" t="n">
        <v>89.5794854807656</v>
      </c>
      <c r="I401" s="7" t="n">
        <v>15.2998573712996</v>
      </c>
      <c r="J401" s="7" t="n">
        <v>34.1959358398438</v>
      </c>
      <c r="K401" s="7" t="n">
        <v>37.2419865512233</v>
      </c>
      <c r="L401" s="7" t="n">
        <v>75.8439528174546</v>
      </c>
      <c r="M401" s="7" t="n">
        <v>50.210996715423</v>
      </c>
      <c r="N401" s="7" t="n">
        <v>46.2324878712374</v>
      </c>
      <c r="O401" s="7" t="n">
        <v>26.2006988421751</v>
      </c>
      <c r="P401" s="7" t="n">
        <v>22.1168158813477</v>
      </c>
      <c r="Q401" s="7" t="n">
        <v>9.74144095458985</v>
      </c>
      <c r="R401" s="7" t="n">
        <v>40.1222909448482</v>
      </c>
      <c r="S401" s="7" t="n">
        <v>68.9454906433105</v>
      </c>
      <c r="T401" s="7" t="n">
        <v>30.1635358032226</v>
      </c>
      <c r="U401" s="7" t="n">
        <v>43.3968589805693</v>
      </c>
      <c r="V401" s="7" t="n">
        <v>194.340976982661</v>
      </c>
      <c r="W401" s="7" t="n">
        <v>41.1935582727511</v>
      </c>
      <c r="X401" s="7" t="n">
        <v>33.6066231761254</v>
      </c>
      <c r="Y401" s="7" t="n">
        <v>15.8478537281555</v>
      </c>
      <c r="Z401" s="7" t="n">
        <v>10.5989945295805</v>
      </c>
      <c r="AA401" s="7" t="n">
        <v>8.33228147940464</v>
      </c>
      <c r="AB401" s="7" t="n">
        <v>75.0839960508034</v>
      </c>
    </row>
    <row r="402" customFormat="false" ht="15" hidden="false" customHeight="false" outlineLevel="0" collapsed="false">
      <c r="A402" s="4" t="s">
        <v>357</v>
      </c>
      <c r="B402" s="4" t="s">
        <v>358</v>
      </c>
      <c r="C402" s="4" t="s">
        <v>112</v>
      </c>
      <c r="D402" s="4" t="s">
        <v>79</v>
      </c>
      <c r="E402" s="4" t="s">
        <v>92</v>
      </c>
      <c r="F402" s="7" t="n">
        <v>0</v>
      </c>
      <c r="G402" s="7" t="n">
        <v>44.2919364746094</v>
      </c>
      <c r="H402" s="7" t="n">
        <v>30.7247921288584</v>
      </c>
      <c r="I402" s="7" t="n">
        <v>42.8906984924317</v>
      </c>
      <c r="J402" s="7" t="n">
        <v>38.6481519353889</v>
      </c>
      <c r="K402" s="7" t="n">
        <v>13.5022925944999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8.79484095650653</v>
      </c>
      <c r="X402" s="7" t="n">
        <v>6.40968857026989</v>
      </c>
      <c r="Y402" s="7" t="n">
        <v>7.57451367296758</v>
      </c>
      <c r="Z402" s="7" t="n">
        <v>5.35173112959922</v>
      </c>
      <c r="AA402" s="7" t="n">
        <v>3.88477417855434</v>
      </c>
      <c r="AB402" s="7" t="n">
        <v>36.3854502162868</v>
      </c>
    </row>
    <row r="403" customFormat="false" ht="15" hidden="false" customHeight="false" outlineLevel="0" collapsed="false">
      <c r="A403" s="4" t="s">
        <v>357</v>
      </c>
      <c r="B403" s="4" t="s">
        <v>358</v>
      </c>
      <c r="C403" s="4" t="s">
        <v>112</v>
      </c>
      <c r="D403" s="4" t="s">
        <v>79</v>
      </c>
      <c r="E403" s="4" t="s">
        <v>93</v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0</v>
      </c>
      <c r="M403" s="7" t="n">
        <v>0</v>
      </c>
      <c r="N403" s="7" t="n">
        <v>0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</row>
    <row r="404" customFormat="false" ht="15" hidden="false" customHeight="false" outlineLevel="0" collapsed="false">
      <c r="A404" s="4" t="s">
        <v>359</v>
      </c>
      <c r="B404" s="4" t="s">
        <v>360</v>
      </c>
      <c r="C404" s="4" t="s">
        <v>99</v>
      </c>
      <c r="D404" s="4" t="s">
        <v>81</v>
      </c>
      <c r="E404" s="4" t="s">
        <v>91</v>
      </c>
      <c r="F404" s="7" t="n">
        <v>460.300360672556</v>
      </c>
      <c r="G404" s="7" t="n">
        <v>367.033525975483</v>
      </c>
      <c r="H404" s="7" t="n">
        <v>405.038405093666</v>
      </c>
      <c r="I404" s="7" t="n">
        <v>739.284922540093</v>
      </c>
      <c r="J404" s="7" t="n">
        <v>1182.08967916014</v>
      </c>
      <c r="K404" s="7" t="n">
        <v>957.933953110279</v>
      </c>
      <c r="L404" s="7" t="n">
        <v>2283.00911388799</v>
      </c>
      <c r="M404" s="7" t="n">
        <v>834.107213797969</v>
      </c>
      <c r="N404" s="7" t="n">
        <v>489.756754992341</v>
      </c>
      <c r="O404" s="7" t="n">
        <v>685.463728657418</v>
      </c>
      <c r="P404" s="7" t="n">
        <v>199.78809274788</v>
      </c>
      <c r="Q404" s="7" t="n">
        <v>2628.92485678127</v>
      </c>
      <c r="R404" s="7" t="n">
        <v>56.9314140270278</v>
      </c>
      <c r="S404" s="7" t="n">
        <v>131.674703960248</v>
      </c>
      <c r="T404" s="7" t="n">
        <v>30.8665110003782</v>
      </c>
      <c r="U404" s="7" t="n">
        <v>150.801124308311</v>
      </c>
      <c r="V404" s="7" t="n">
        <v>161.245837837358</v>
      </c>
      <c r="W404" s="7" t="n">
        <v>76.4523190008347</v>
      </c>
      <c r="X404" s="7" t="n">
        <v>252.408872277128</v>
      </c>
      <c r="Y404" s="7" t="n">
        <v>71.0647404646128</v>
      </c>
      <c r="Z404" s="7" t="n">
        <v>100.052658130732</v>
      </c>
      <c r="AA404" s="7" t="n">
        <v>51.5571597497698</v>
      </c>
      <c r="AB404" s="7" t="n">
        <v>66.8843945458801</v>
      </c>
    </row>
    <row r="405" customFormat="false" ht="15" hidden="false" customHeight="false" outlineLevel="0" collapsed="false">
      <c r="A405" s="4" t="s">
        <v>359</v>
      </c>
      <c r="B405" s="4" t="s">
        <v>360</v>
      </c>
      <c r="C405" s="4" t="s">
        <v>99</v>
      </c>
      <c r="D405" s="4" t="s">
        <v>81</v>
      </c>
      <c r="E405" s="4" t="s">
        <v>92</v>
      </c>
      <c r="F405" s="7" t="n">
        <v>179.695086872011</v>
      </c>
      <c r="G405" s="7" t="n">
        <v>46.328671984794</v>
      </c>
      <c r="H405" s="7" t="n">
        <v>59.7917687220368</v>
      </c>
      <c r="I405" s="7" t="n">
        <v>105.822719940257</v>
      </c>
      <c r="J405" s="7" t="n">
        <v>122.862042502702</v>
      </c>
      <c r="K405" s="7" t="n">
        <v>114.057106954179</v>
      </c>
      <c r="L405" s="7" t="n">
        <v>243.612841303831</v>
      </c>
      <c r="M405" s="7" t="n">
        <v>2121.30407926296</v>
      </c>
      <c r="N405" s="7" t="n">
        <v>1578.04738812005</v>
      </c>
      <c r="O405" s="7" t="n">
        <v>2348.98292186327</v>
      </c>
      <c r="P405" s="7" t="n">
        <v>180.625146664315</v>
      </c>
      <c r="Q405" s="7" t="n">
        <v>1187.15840256383</v>
      </c>
      <c r="R405" s="7" t="n">
        <v>353.09044871065</v>
      </c>
      <c r="S405" s="7" t="n">
        <v>1175.04519750168</v>
      </c>
      <c r="T405" s="7" t="n">
        <v>160.388490722656</v>
      </c>
      <c r="U405" s="7" t="n">
        <v>144.807188148893</v>
      </c>
      <c r="V405" s="7" t="n">
        <v>151.816154713457</v>
      </c>
      <c r="W405" s="7" t="n">
        <v>106.682120568257</v>
      </c>
      <c r="X405" s="7" t="n">
        <v>259.289947805066</v>
      </c>
      <c r="Y405" s="7" t="n">
        <v>371.695806299471</v>
      </c>
      <c r="Z405" s="7" t="n">
        <v>493.338189780405</v>
      </c>
      <c r="AA405" s="7" t="n">
        <v>278.36882172697</v>
      </c>
      <c r="AB405" s="7" t="n">
        <v>348.772020747376</v>
      </c>
    </row>
    <row r="406" customFormat="false" ht="15" hidden="false" customHeight="false" outlineLevel="0" collapsed="false">
      <c r="A406" s="4" t="s">
        <v>359</v>
      </c>
      <c r="B406" s="4" t="s">
        <v>360</v>
      </c>
      <c r="C406" s="4" t="s">
        <v>99</v>
      </c>
      <c r="D406" s="4" t="s">
        <v>81</v>
      </c>
      <c r="E406" s="4" t="s">
        <v>93</v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</row>
    <row r="407" customFormat="false" ht="15" hidden="false" customHeight="false" outlineLevel="0" collapsed="false">
      <c r="A407" s="4" t="s">
        <v>361</v>
      </c>
      <c r="B407" s="4" t="s">
        <v>362</v>
      </c>
      <c r="C407" s="4" t="s">
        <v>104</v>
      </c>
      <c r="D407" s="4" t="s">
        <v>41</v>
      </c>
      <c r="E407" s="4" t="s">
        <v>91</v>
      </c>
      <c r="F407" s="7" t="n">
        <v>94.6464048950195</v>
      </c>
      <c r="G407" s="7" t="n">
        <v>97.551208123133</v>
      </c>
      <c r="H407" s="7" t="n">
        <v>24.980572265625</v>
      </c>
      <c r="I407" s="7" t="n">
        <v>50.8086419416839</v>
      </c>
      <c r="J407" s="7" t="n">
        <v>55.8186087524414</v>
      </c>
      <c r="K407" s="7" t="n">
        <v>40.8061331626743</v>
      </c>
      <c r="L407" s="7" t="n">
        <v>332.222158651727</v>
      </c>
      <c r="M407" s="7" t="n">
        <v>96.9328610262283</v>
      </c>
      <c r="N407" s="7" t="n">
        <v>84.9415402959128</v>
      </c>
      <c r="O407" s="7" t="n">
        <v>349.440660494239</v>
      </c>
      <c r="P407" s="7" t="n">
        <v>151.345358821677</v>
      </c>
      <c r="Q407" s="7" t="n">
        <v>116.071370719066</v>
      </c>
      <c r="R407" s="7" t="n">
        <v>71.4156498718262</v>
      </c>
      <c r="S407" s="7" t="n">
        <v>153.681608885689</v>
      </c>
      <c r="T407" s="7" t="n">
        <v>99.3824807584396</v>
      </c>
      <c r="U407" s="7" t="n">
        <v>475.000274317217</v>
      </c>
      <c r="V407" s="7" t="n">
        <v>453.629048704348</v>
      </c>
      <c r="W407" s="7" t="n">
        <v>432.268431699546</v>
      </c>
      <c r="X407" s="7" t="n">
        <v>53.7172532254327</v>
      </c>
      <c r="Y407" s="7" t="n">
        <v>0</v>
      </c>
      <c r="Z407" s="7" t="n">
        <v>0</v>
      </c>
      <c r="AA407" s="7" t="n">
        <v>94.8607441305332</v>
      </c>
      <c r="AB407" s="7" t="n">
        <v>43.3991449552727</v>
      </c>
    </row>
    <row r="408" customFormat="false" ht="15" hidden="false" customHeight="false" outlineLevel="0" collapsed="false">
      <c r="A408" s="4" t="s">
        <v>361</v>
      </c>
      <c r="B408" s="4" t="s">
        <v>362</v>
      </c>
      <c r="C408" s="4" t="s">
        <v>104</v>
      </c>
      <c r="D408" s="4" t="s">
        <v>41</v>
      </c>
      <c r="E408" s="4" t="s">
        <v>92</v>
      </c>
      <c r="F408" s="7" t="n">
        <v>608.759108002204</v>
      </c>
      <c r="G408" s="7" t="n">
        <v>698.974639154258</v>
      </c>
      <c r="H408" s="7" t="n">
        <v>436.235244807483</v>
      </c>
      <c r="I408" s="7" t="n">
        <v>1571.70888574866</v>
      </c>
      <c r="J408" s="7" t="n">
        <v>574.850130078813</v>
      </c>
      <c r="K408" s="7" t="n">
        <v>688.976638943358</v>
      </c>
      <c r="L408" s="7" t="n">
        <v>425.566325223555</v>
      </c>
      <c r="M408" s="7" t="n">
        <v>633.562210267998</v>
      </c>
      <c r="N408" s="7" t="n">
        <v>721.851167800068</v>
      </c>
      <c r="O408" s="7" t="n">
        <v>265.083109311437</v>
      </c>
      <c r="P408" s="7" t="n">
        <v>213.227927906692</v>
      </c>
      <c r="Q408" s="7" t="n">
        <v>446.62116023406</v>
      </c>
      <c r="R408" s="7" t="n">
        <v>334.044709092818</v>
      </c>
      <c r="S408" s="7" t="n">
        <v>490.431758817246</v>
      </c>
      <c r="T408" s="7" t="n">
        <v>519.683961556612</v>
      </c>
      <c r="U408" s="7" t="n">
        <v>459.791168140657</v>
      </c>
      <c r="V408" s="7" t="n">
        <v>291.050198564676</v>
      </c>
      <c r="W408" s="7" t="n">
        <v>403.627933478198</v>
      </c>
      <c r="X408" s="7" t="n">
        <v>428.468675590533</v>
      </c>
      <c r="Y408" s="7" t="n">
        <v>571.88425196143</v>
      </c>
      <c r="Z408" s="7" t="n">
        <v>404.781319862348</v>
      </c>
      <c r="AA408" s="7" t="n">
        <v>299.991050655054</v>
      </c>
      <c r="AB408" s="7" t="n">
        <v>250.152414794435</v>
      </c>
    </row>
    <row r="409" customFormat="false" ht="15" hidden="false" customHeight="false" outlineLevel="0" collapsed="false">
      <c r="A409" s="4" t="s">
        <v>361</v>
      </c>
      <c r="B409" s="4" t="s">
        <v>362</v>
      </c>
      <c r="C409" s="4" t="s">
        <v>104</v>
      </c>
      <c r="D409" s="4" t="s">
        <v>41</v>
      </c>
      <c r="E409" s="4" t="s">
        <v>93</v>
      </c>
      <c r="F409" s="7" t="n">
        <v>3822.10757358182</v>
      </c>
      <c r="G409" s="7" t="n">
        <v>5700</v>
      </c>
      <c r="H409" s="7" t="n">
        <v>4201.42570853437</v>
      </c>
      <c r="I409" s="7" t="n">
        <v>5700</v>
      </c>
      <c r="J409" s="7" t="n">
        <v>4869.36617682855</v>
      </c>
      <c r="K409" s="7" t="n">
        <v>5586.64475338134</v>
      </c>
      <c r="L409" s="7" t="n">
        <v>5700</v>
      </c>
      <c r="M409" s="7" t="n">
        <v>4800</v>
      </c>
      <c r="N409" s="7" t="n">
        <v>3900</v>
      </c>
      <c r="O409" s="7" t="n">
        <v>3000</v>
      </c>
      <c r="P409" s="7" t="n">
        <v>3000</v>
      </c>
      <c r="Q409" s="7" t="n">
        <v>3000</v>
      </c>
      <c r="R409" s="7" t="n">
        <v>2000</v>
      </c>
      <c r="S409" s="7" t="n">
        <v>1000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</row>
    <row r="410" customFormat="false" ht="15" hidden="false" customHeight="false" outlineLevel="0" collapsed="false">
      <c r="A410" s="4" t="s">
        <v>363</v>
      </c>
      <c r="B410" s="4" t="s">
        <v>364</v>
      </c>
      <c r="C410" s="4" t="s">
        <v>107</v>
      </c>
      <c r="D410" s="4" t="s">
        <v>79</v>
      </c>
      <c r="E410" s="4" t="s">
        <v>91</v>
      </c>
      <c r="F410" s="7" t="n">
        <v>33390.5001233444</v>
      </c>
      <c r="G410" s="7" t="n">
        <v>45615.5580081456</v>
      </c>
      <c r="H410" s="7" t="n">
        <v>47621.3154823247</v>
      </c>
      <c r="I410" s="7" t="n">
        <v>54456.5167306136</v>
      </c>
      <c r="J410" s="7" t="n">
        <v>65725.0247934108</v>
      </c>
      <c r="K410" s="7" t="n">
        <v>26383.5819580919</v>
      </c>
      <c r="L410" s="7" t="n">
        <v>57820.5945667672</v>
      </c>
      <c r="M410" s="7" t="n">
        <v>19005.3061677127</v>
      </c>
      <c r="N410" s="7" t="n">
        <v>63183.6589716544</v>
      </c>
      <c r="O410" s="7" t="n">
        <v>63023.6287889691</v>
      </c>
      <c r="P410" s="7" t="n">
        <v>66435.9717719039</v>
      </c>
      <c r="Q410" s="7" t="n">
        <v>61722.9728882133</v>
      </c>
      <c r="R410" s="7" t="n">
        <v>59141.9543145181</v>
      </c>
      <c r="S410" s="7" t="n">
        <v>50479.2231413953</v>
      </c>
      <c r="T410" s="7" t="n">
        <v>50076.3333333333</v>
      </c>
      <c r="U410" s="7" t="n">
        <v>52716.2857799665</v>
      </c>
      <c r="V410" s="7" t="n">
        <v>52331.5351277268</v>
      </c>
      <c r="W410" s="7" t="n">
        <v>41127.8439212636</v>
      </c>
      <c r="X410" s="7" t="n">
        <v>39078.9768814897</v>
      </c>
      <c r="Y410" s="7" t="n">
        <v>38224</v>
      </c>
      <c r="Z410" s="7" t="n">
        <v>54609.5</v>
      </c>
      <c r="AA410" s="7" t="n">
        <v>5827.33837987294</v>
      </c>
      <c r="AB410" s="7" t="n">
        <v>29411.4873858359</v>
      </c>
    </row>
    <row r="411" customFormat="false" ht="15" hidden="false" customHeight="false" outlineLevel="0" collapsed="false">
      <c r="A411" s="4" t="s">
        <v>363</v>
      </c>
      <c r="B411" s="4" t="s">
        <v>364</v>
      </c>
      <c r="C411" s="4" t="s">
        <v>107</v>
      </c>
      <c r="D411" s="4" t="s">
        <v>79</v>
      </c>
      <c r="E411" s="4" t="s">
        <v>92</v>
      </c>
      <c r="F411" s="7" t="n">
        <v>65415.3152489021</v>
      </c>
      <c r="G411" s="7" t="n">
        <v>82135.7735666881</v>
      </c>
      <c r="H411" s="7" t="n">
        <v>109332.654251396</v>
      </c>
      <c r="I411" s="7" t="n">
        <v>97242.8754111253</v>
      </c>
      <c r="J411" s="7" t="n">
        <v>94158.1254622152</v>
      </c>
      <c r="K411" s="7" t="n">
        <v>63866.1831200205</v>
      </c>
      <c r="L411" s="7" t="n">
        <v>161492.982071694</v>
      </c>
      <c r="M411" s="7" t="n">
        <v>161794.322276514</v>
      </c>
      <c r="N411" s="7" t="n">
        <v>150964.964004447</v>
      </c>
      <c r="O411" s="7" t="n">
        <v>159300.341899295</v>
      </c>
      <c r="P411" s="7" t="n">
        <v>157114.892568036</v>
      </c>
      <c r="Q411" s="7" t="n">
        <v>159891.796418109</v>
      </c>
      <c r="R411" s="7" t="n">
        <v>121325.309463888</v>
      </c>
      <c r="S411" s="7" t="n">
        <v>155427.816425195</v>
      </c>
      <c r="T411" s="7" t="n">
        <v>118541.325794524</v>
      </c>
      <c r="U411" s="7" t="n">
        <v>126487.031493115</v>
      </c>
      <c r="V411" s="7" t="n">
        <v>101315.519986319</v>
      </c>
      <c r="W411" s="7" t="n">
        <v>91195.0312344894</v>
      </c>
      <c r="X411" s="7" t="n">
        <v>65862.7890534235</v>
      </c>
      <c r="Y411" s="7" t="n">
        <v>55627.1389370865</v>
      </c>
      <c r="Z411" s="7" t="n">
        <v>66907.1563636476</v>
      </c>
      <c r="AA411" s="7" t="n">
        <v>7609.61048098401</v>
      </c>
      <c r="AB411" s="7" t="n">
        <v>48613.42988045</v>
      </c>
    </row>
    <row r="412" customFormat="false" ht="15" hidden="false" customHeight="false" outlineLevel="0" collapsed="false">
      <c r="A412" s="4" t="s">
        <v>363</v>
      </c>
      <c r="B412" s="4" t="s">
        <v>364</v>
      </c>
      <c r="C412" s="4" t="s">
        <v>107</v>
      </c>
      <c r="D412" s="4" t="s">
        <v>79</v>
      </c>
      <c r="E412" s="4" t="s">
        <v>93</v>
      </c>
      <c r="F412" s="7" t="n">
        <v>894.824622742186</v>
      </c>
      <c r="G412" s="7" t="n">
        <v>1638.73425521697</v>
      </c>
      <c r="H412" s="7" t="n">
        <v>3055.18052933338</v>
      </c>
      <c r="I412" s="7" t="n">
        <v>3039.4936241091</v>
      </c>
      <c r="J412" s="7" t="n">
        <v>2093.62780573075</v>
      </c>
      <c r="K412" s="7" t="n">
        <v>1579.23268537143</v>
      </c>
      <c r="L412" s="7" t="n">
        <v>2244.32649987582</v>
      </c>
      <c r="M412" s="7" t="n">
        <v>2348.27108337992</v>
      </c>
      <c r="N412" s="7" t="n">
        <v>1446.94182318605</v>
      </c>
      <c r="O412" s="7" t="n">
        <v>2541.16997439547</v>
      </c>
      <c r="P412" s="7" t="n">
        <v>3126.92285855919</v>
      </c>
      <c r="Q412" s="7" t="n">
        <v>3869.95456264727</v>
      </c>
      <c r="R412" s="7" t="n">
        <v>2434.82906088786</v>
      </c>
      <c r="S412" s="7" t="n">
        <v>1862.13600032079</v>
      </c>
      <c r="T412" s="7" t="n">
        <v>1442.93763686339</v>
      </c>
      <c r="U412" s="7" t="n">
        <v>2047.64064150334</v>
      </c>
      <c r="V412" s="7" t="n">
        <v>2510.40908288092</v>
      </c>
      <c r="W412" s="7" t="n">
        <v>1260.4745753711</v>
      </c>
      <c r="X412" s="7" t="n">
        <v>1102.73214884359</v>
      </c>
      <c r="Y412" s="7" t="n">
        <v>930.543010704335</v>
      </c>
      <c r="Z412" s="7" t="n">
        <v>1178.44293648557</v>
      </c>
      <c r="AA412" s="7" t="n">
        <v>1479.38352439447</v>
      </c>
      <c r="AB412" s="7" t="n">
        <v>1545.3463656483</v>
      </c>
    </row>
    <row r="413" customFormat="false" ht="15" hidden="false" customHeight="false" outlineLevel="0" collapsed="false">
      <c r="A413" s="4" t="s">
        <v>365</v>
      </c>
      <c r="B413" s="4" t="s">
        <v>366</v>
      </c>
      <c r="C413" s="4" t="s">
        <v>99</v>
      </c>
      <c r="D413" s="4" t="s">
        <v>77</v>
      </c>
      <c r="E413" s="4" t="s">
        <v>91</v>
      </c>
      <c r="F413" s="7" t="n">
        <v>1.37946223101484</v>
      </c>
      <c r="G413" s="7" t="n">
        <v>0.657547790527344</v>
      </c>
      <c r="H413" s="7" t="n">
        <v>1.39108790493086</v>
      </c>
      <c r="I413" s="7" t="n">
        <v>1.00797201038555</v>
      </c>
      <c r="J413" s="7" t="n">
        <v>0.31360309790092</v>
      </c>
      <c r="K413" s="7" t="n">
        <v>0.686512644737094</v>
      </c>
      <c r="L413" s="7" t="n">
        <v>1.18144333496094</v>
      </c>
      <c r="M413" s="7" t="n">
        <v>1.95733359985352</v>
      </c>
      <c r="N413" s="7" t="n">
        <v>0.460324865722656</v>
      </c>
      <c r="O413" s="7" t="n">
        <v>0.521899273681641</v>
      </c>
      <c r="P413" s="7" t="n">
        <v>0.261357672119141</v>
      </c>
      <c r="Q413" s="7" t="n">
        <v>0.0651904968261719</v>
      </c>
      <c r="R413" s="7" t="n">
        <v>0.262774145507813</v>
      </c>
      <c r="S413" s="7" t="n">
        <v>0.131225476074219</v>
      </c>
      <c r="T413" s="7" t="n">
        <v>0.0256536606445589</v>
      </c>
      <c r="U413" s="7" t="n">
        <v>0.195972344970703</v>
      </c>
      <c r="V413" s="7" t="n">
        <v>0.261944769287109</v>
      </c>
      <c r="W413" s="7" t="n">
        <v>0</v>
      </c>
      <c r="X413" s="7" t="n">
        <v>0</v>
      </c>
      <c r="Y413" s="7" t="n">
        <v>0</v>
      </c>
      <c r="Z413" s="7" t="n">
        <v>0</v>
      </c>
      <c r="AA413" s="7" t="n">
        <v>0</v>
      </c>
      <c r="AB413" s="7" t="n">
        <v>0</v>
      </c>
    </row>
    <row r="414" customFormat="false" ht="15" hidden="false" customHeight="false" outlineLevel="0" collapsed="false">
      <c r="A414" s="4" t="s">
        <v>365</v>
      </c>
      <c r="B414" s="4" t="s">
        <v>366</v>
      </c>
      <c r="C414" s="4" t="s">
        <v>99</v>
      </c>
      <c r="D414" s="4" t="s">
        <v>77</v>
      </c>
      <c r="E414" s="4" t="s">
        <v>92</v>
      </c>
      <c r="F414" s="7" t="n">
        <v>0.0569862431062495</v>
      </c>
      <c r="G414" s="7" t="n">
        <v>0.130466583251953</v>
      </c>
      <c r="H414" s="7" t="n">
        <v>0.0483814615242185</v>
      </c>
      <c r="I414" s="7" t="n">
        <v>0.0191237334774218</v>
      </c>
      <c r="J414" s="7" t="n">
        <v>0.0127900478510333</v>
      </c>
      <c r="K414" s="7" t="n">
        <v>0</v>
      </c>
      <c r="L414" s="7" t="n">
        <v>0.130673864746094</v>
      </c>
      <c r="M414" s="7" t="n">
        <v>0</v>
      </c>
      <c r="N414" s="7" t="n">
        <v>0.196873394775391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0.104626930175754</v>
      </c>
      <c r="U414" s="7" t="n">
        <v>0</v>
      </c>
      <c r="V414" s="7" t="n">
        <v>0</v>
      </c>
      <c r="W414" s="7" t="n">
        <v>0.195567419433594</v>
      </c>
      <c r="X414" s="7" t="n">
        <v>0</v>
      </c>
      <c r="Y414" s="7" t="n">
        <v>0.130646282958984</v>
      </c>
      <c r="Z414" s="7" t="n">
        <v>0</v>
      </c>
      <c r="AA414" s="7" t="n">
        <v>0</v>
      </c>
      <c r="AB414" s="7" t="n">
        <v>0</v>
      </c>
    </row>
    <row r="415" customFormat="false" ht="15" hidden="false" customHeight="false" outlineLevel="0" collapsed="false">
      <c r="A415" s="4" t="s">
        <v>365</v>
      </c>
      <c r="B415" s="4" t="s">
        <v>366</v>
      </c>
      <c r="C415" s="4" t="s">
        <v>99</v>
      </c>
      <c r="D415" s="4" t="s">
        <v>77</v>
      </c>
      <c r="E415" s="4" t="s">
        <v>93</v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0</v>
      </c>
      <c r="N415" s="7" t="n">
        <v>0</v>
      </c>
      <c r="O415" s="7" t="n">
        <v>0</v>
      </c>
      <c r="P415" s="7" t="n">
        <v>0</v>
      </c>
      <c r="Q415" s="7" t="n">
        <v>0</v>
      </c>
      <c r="R415" s="7" t="n">
        <v>0</v>
      </c>
      <c r="S415" s="7" t="n">
        <v>0</v>
      </c>
      <c r="T415" s="7" t="n">
        <v>0</v>
      </c>
      <c r="U415" s="7" t="n">
        <v>0</v>
      </c>
      <c r="V415" s="7" t="n">
        <v>0</v>
      </c>
      <c r="W415" s="7" t="n">
        <v>0</v>
      </c>
      <c r="X415" s="7" t="n">
        <v>0</v>
      </c>
      <c r="Y415" s="7" t="n">
        <v>0</v>
      </c>
      <c r="Z415" s="7" t="n">
        <v>0</v>
      </c>
      <c r="AA415" s="7" t="n">
        <v>0</v>
      </c>
      <c r="AB415" s="7" t="n">
        <v>0</v>
      </c>
    </row>
    <row r="416" customFormat="false" ht="15" hidden="false" customHeight="false" outlineLevel="0" collapsed="false">
      <c r="A416" s="4" t="s">
        <v>367</v>
      </c>
      <c r="B416" s="4" t="s">
        <v>368</v>
      </c>
      <c r="C416" s="4" t="s">
        <v>101</v>
      </c>
      <c r="D416" s="4" t="s">
        <v>41</v>
      </c>
      <c r="E416" s="4" t="s">
        <v>91</v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23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  <c r="AB416" s="7" t="n">
        <v>0</v>
      </c>
    </row>
    <row r="417" customFormat="false" ht="15" hidden="false" customHeight="false" outlineLevel="0" collapsed="false">
      <c r="A417" s="4" t="s">
        <v>367</v>
      </c>
      <c r="B417" s="4" t="s">
        <v>368</v>
      </c>
      <c r="C417" s="4" t="s">
        <v>101</v>
      </c>
      <c r="D417" s="4" t="s">
        <v>41</v>
      </c>
      <c r="E417" s="4" t="s">
        <v>92</v>
      </c>
      <c r="F417" s="7" t="n">
        <v>1.94258223876953</v>
      </c>
      <c r="G417" s="7" t="n">
        <v>71.6384735764208</v>
      </c>
      <c r="H417" s="7" t="n">
        <v>24.8482289120902</v>
      </c>
      <c r="I417" s="7" t="n">
        <v>0</v>
      </c>
      <c r="J417" s="7" t="n">
        <v>36.5096390444767</v>
      </c>
      <c r="K417" s="7" t="n">
        <v>65.3576403160077</v>
      </c>
      <c r="L417" s="7" t="n">
        <v>0</v>
      </c>
      <c r="M417" s="7" t="n">
        <v>0</v>
      </c>
      <c r="N417" s="7" t="n">
        <v>0</v>
      </c>
      <c r="O417" s="7" t="n">
        <v>0</v>
      </c>
      <c r="P417" s="7" t="n">
        <v>0</v>
      </c>
      <c r="Q417" s="7" t="n">
        <v>0</v>
      </c>
      <c r="R417" s="7" t="n">
        <v>0</v>
      </c>
      <c r="S417" s="7" t="n">
        <v>0</v>
      </c>
      <c r="T417" s="7" t="n">
        <v>0</v>
      </c>
      <c r="U417" s="7" t="n">
        <v>0</v>
      </c>
      <c r="V417" s="7" t="n">
        <v>0</v>
      </c>
      <c r="W417" s="7" t="n">
        <v>0</v>
      </c>
      <c r="X417" s="7" t="n">
        <v>0</v>
      </c>
      <c r="Y417" s="7" t="n">
        <v>0</v>
      </c>
      <c r="Z417" s="7" t="n">
        <v>0</v>
      </c>
      <c r="AA417" s="7" t="n">
        <v>0</v>
      </c>
      <c r="AB417" s="7" t="n">
        <v>0</v>
      </c>
    </row>
    <row r="418" customFormat="false" ht="15" hidden="false" customHeight="false" outlineLevel="0" collapsed="false">
      <c r="A418" s="4" t="s">
        <v>367</v>
      </c>
      <c r="B418" s="4" t="s">
        <v>368</v>
      </c>
      <c r="C418" s="4" t="s">
        <v>101</v>
      </c>
      <c r="D418" s="4" t="s">
        <v>41</v>
      </c>
      <c r="E418" s="4" t="s">
        <v>93</v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7" t="n">
        <v>0</v>
      </c>
      <c r="AB418" s="7" t="n">
        <v>0</v>
      </c>
    </row>
    <row r="419" customFormat="false" ht="15" hidden="false" customHeight="false" outlineLevel="0" collapsed="false">
      <c r="A419" s="4" t="s">
        <v>369</v>
      </c>
      <c r="B419" s="4" t="s">
        <v>370</v>
      </c>
      <c r="C419" s="4" t="s">
        <v>104</v>
      </c>
      <c r="D419" s="4" t="s">
        <v>41</v>
      </c>
      <c r="E419" s="4" t="s">
        <v>91</v>
      </c>
      <c r="F419" s="7" t="n">
        <v>100.791064933891</v>
      </c>
      <c r="G419" s="7" t="n">
        <v>98.516010001508</v>
      </c>
      <c r="H419" s="7" t="n">
        <v>47.5800756933594</v>
      </c>
      <c r="I419" s="7" t="n">
        <v>30.4439458618164</v>
      </c>
      <c r="J419" s="7" t="n">
        <v>38.2338560764926</v>
      </c>
      <c r="K419" s="7" t="n">
        <v>39.5769081434063</v>
      </c>
      <c r="L419" s="7" t="n">
        <v>347.38043738975</v>
      </c>
      <c r="M419" s="7" t="n">
        <v>213.336363806528</v>
      </c>
      <c r="N419" s="7" t="n">
        <v>70.589091504467</v>
      </c>
      <c r="O419" s="7" t="n">
        <v>29.3741419229904</v>
      </c>
      <c r="P419" s="7" t="n">
        <v>37.6445209084185</v>
      </c>
      <c r="Q419" s="7" t="n">
        <v>89.2288741613356</v>
      </c>
      <c r="R419" s="7" t="n">
        <v>24.3193657775879</v>
      </c>
      <c r="S419" s="7" t="n">
        <v>95.1679141113999</v>
      </c>
      <c r="T419" s="7" t="n">
        <v>107.261551978353</v>
      </c>
      <c r="U419" s="7" t="n">
        <v>610.050569724098</v>
      </c>
      <c r="V419" s="7" t="n">
        <v>195.401909158768</v>
      </c>
      <c r="W419" s="7" t="n">
        <v>110.168608259541</v>
      </c>
      <c r="X419" s="7" t="n">
        <v>28.5410088812136</v>
      </c>
      <c r="Y419" s="7" t="n">
        <v>0</v>
      </c>
      <c r="Z419" s="7" t="n">
        <v>0</v>
      </c>
      <c r="AA419" s="7" t="n">
        <v>180.717417608978</v>
      </c>
      <c r="AB419" s="7" t="n">
        <v>259.950410021542</v>
      </c>
    </row>
    <row r="420" customFormat="false" ht="15" hidden="false" customHeight="false" outlineLevel="0" collapsed="false">
      <c r="A420" s="4" t="s">
        <v>369</v>
      </c>
      <c r="B420" s="4" t="s">
        <v>370</v>
      </c>
      <c r="C420" s="4" t="s">
        <v>104</v>
      </c>
      <c r="D420" s="4" t="s">
        <v>41</v>
      </c>
      <c r="E420" s="4" t="s">
        <v>92</v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36.2550618318483</v>
      </c>
      <c r="M420" s="7" t="n">
        <v>65.4930024824868</v>
      </c>
      <c r="N420" s="7" t="n">
        <v>187.776959077473</v>
      </c>
      <c r="O420" s="7" t="n">
        <v>263.833075827517</v>
      </c>
      <c r="P420" s="7" t="n">
        <v>292.347925805473</v>
      </c>
      <c r="Q420" s="7" t="n">
        <v>559.245438625147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0</v>
      </c>
      <c r="Z420" s="7" t="n">
        <v>0</v>
      </c>
      <c r="AA420" s="7" t="n">
        <v>0</v>
      </c>
      <c r="AB420" s="7" t="n">
        <v>0</v>
      </c>
    </row>
    <row r="421" customFormat="false" ht="15" hidden="false" customHeight="false" outlineLevel="0" collapsed="false">
      <c r="A421" s="4" t="s">
        <v>369</v>
      </c>
      <c r="B421" s="4" t="s">
        <v>370</v>
      </c>
      <c r="C421" s="4" t="s">
        <v>104</v>
      </c>
      <c r="D421" s="4" t="s">
        <v>41</v>
      </c>
      <c r="E421" s="4" t="s">
        <v>93</v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n">
        <v>0</v>
      </c>
      <c r="P421" s="7" t="n">
        <v>0</v>
      </c>
      <c r="Q421" s="7" t="n">
        <v>0</v>
      </c>
      <c r="R421" s="7" t="n">
        <v>0</v>
      </c>
      <c r="S421" s="7" t="n">
        <v>0</v>
      </c>
      <c r="T421" s="7" t="n">
        <v>0</v>
      </c>
      <c r="U421" s="7" t="n">
        <v>0</v>
      </c>
      <c r="V421" s="7" t="n">
        <v>0</v>
      </c>
      <c r="W421" s="7" t="n">
        <v>0</v>
      </c>
      <c r="X421" s="7" t="n">
        <v>0</v>
      </c>
      <c r="Y421" s="7" t="n">
        <v>0</v>
      </c>
      <c r="Z421" s="7" t="n">
        <v>0</v>
      </c>
      <c r="AA421" s="7" t="n">
        <v>0</v>
      </c>
      <c r="AB421" s="7" t="n">
        <v>0</v>
      </c>
    </row>
    <row r="422" customFormat="false" ht="15" hidden="false" customHeight="false" outlineLevel="0" collapsed="false">
      <c r="A422" s="4" t="s">
        <v>45</v>
      </c>
      <c r="B422" s="4" t="s">
        <v>46</v>
      </c>
      <c r="C422" s="4" t="s">
        <v>158</v>
      </c>
      <c r="D422" s="4" t="s">
        <v>45</v>
      </c>
      <c r="E422" s="4" t="s">
        <v>91</v>
      </c>
      <c r="F422" s="7" t="n">
        <v>7619.0960148623</v>
      </c>
      <c r="G422" s="7" t="n">
        <v>4900.45859800925</v>
      </c>
      <c r="H422" s="7" t="n">
        <v>1000.09636101592</v>
      </c>
      <c r="I422" s="7" t="n">
        <v>1707.52080321199</v>
      </c>
      <c r="J422" s="7" t="n">
        <v>5377.43747280293</v>
      </c>
      <c r="K422" s="7" t="n">
        <v>6443.684795907</v>
      </c>
      <c r="L422" s="7" t="n">
        <v>5754.88178001599</v>
      </c>
      <c r="M422" s="7" t="n">
        <v>5029.10321184625</v>
      </c>
      <c r="N422" s="7" t="n">
        <v>6314.99308975469</v>
      </c>
      <c r="O422" s="7" t="n">
        <v>7894.61410865075</v>
      </c>
      <c r="P422" s="7" t="n">
        <v>7487.10725804155</v>
      </c>
      <c r="Q422" s="7" t="n">
        <v>9964.39244314515</v>
      </c>
      <c r="R422" s="7" t="n">
        <v>6281.28127278917</v>
      </c>
      <c r="S422" s="7" t="n">
        <v>5402.75525007055</v>
      </c>
      <c r="T422" s="7" t="n">
        <v>3812.65873298394</v>
      </c>
      <c r="U422" s="7" t="n">
        <v>5725.64875452317</v>
      </c>
      <c r="V422" s="7" t="n">
        <v>7785.78132131191</v>
      </c>
      <c r="W422" s="7" t="n">
        <v>7251.70448587735</v>
      </c>
      <c r="X422" s="7" t="n">
        <v>2438.2394971411</v>
      </c>
      <c r="Y422" s="7" t="n">
        <v>1489.97273714437</v>
      </c>
      <c r="Z422" s="7" t="n">
        <v>1422.25469858427</v>
      </c>
      <c r="AA422" s="7" t="n">
        <v>1378.92455806159</v>
      </c>
      <c r="AB422" s="7" t="n">
        <v>548.481220573068</v>
      </c>
    </row>
    <row r="423" customFormat="false" ht="15" hidden="false" customHeight="false" outlineLevel="0" collapsed="false">
      <c r="A423" s="4" t="s">
        <v>45</v>
      </c>
      <c r="B423" s="4" t="s">
        <v>46</v>
      </c>
      <c r="C423" s="4" t="s">
        <v>158</v>
      </c>
      <c r="D423" s="4" t="s">
        <v>45</v>
      </c>
      <c r="E423" s="4" t="s">
        <v>92</v>
      </c>
      <c r="F423" s="7" t="n">
        <v>16270.8626720805</v>
      </c>
      <c r="G423" s="7" t="n">
        <v>12985.0747593513</v>
      </c>
      <c r="H423" s="7" t="n">
        <v>6694.15246850193</v>
      </c>
      <c r="I423" s="7" t="n">
        <v>16444.5186284325</v>
      </c>
      <c r="J423" s="7" t="n">
        <v>8717.0286637158</v>
      </c>
      <c r="K423" s="7" t="n">
        <v>7853.54800306793</v>
      </c>
      <c r="L423" s="7" t="n">
        <v>7717.11916434787</v>
      </c>
      <c r="M423" s="7" t="n">
        <v>8204.57338138278</v>
      </c>
      <c r="N423" s="7" t="n">
        <v>9383.22404498912</v>
      </c>
      <c r="O423" s="7" t="n">
        <v>10383.6936650577</v>
      </c>
      <c r="P423" s="7" t="n">
        <v>9271.73253179431</v>
      </c>
      <c r="Q423" s="7" t="n">
        <v>16123.4695768013</v>
      </c>
      <c r="R423" s="7" t="n">
        <v>11282.613049544</v>
      </c>
      <c r="S423" s="7" t="n">
        <v>8197.92868973058</v>
      </c>
      <c r="T423" s="7" t="n">
        <v>4885.15103127773</v>
      </c>
      <c r="U423" s="7" t="n">
        <v>5088.70461560171</v>
      </c>
      <c r="V423" s="7" t="n">
        <v>5269.980977047</v>
      </c>
      <c r="W423" s="7" t="n">
        <v>3156.02631963567</v>
      </c>
      <c r="X423" s="7" t="n">
        <v>2942.41936631336</v>
      </c>
      <c r="Y423" s="7" t="n">
        <v>3732.22860431502</v>
      </c>
      <c r="Z423" s="7" t="n">
        <v>2638.16857192027</v>
      </c>
      <c r="AA423" s="7" t="n">
        <v>2293.20686172191</v>
      </c>
      <c r="AB423" s="7" t="n">
        <v>1050.98619839258</v>
      </c>
    </row>
    <row r="424" customFormat="false" ht="15" hidden="false" customHeight="false" outlineLevel="0" collapsed="false">
      <c r="A424" s="4" t="s">
        <v>45</v>
      </c>
      <c r="B424" s="4" t="s">
        <v>46</v>
      </c>
      <c r="C424" s="4" t="s">
        <v>158</v>
      </c>
      <c r="D424" s="4" t="s">
        <v>45</v>
      </c>
      <c r="E424" s="4" t="s">
        <v>93</v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0</v>
      </c>
      <c r="Z424" s="7" t="n">
        <v>0</v>
      </c>
      <c r="AA424" s="7" t="n">
        <v>0</v>
      </c>
      <c r="AB424" s="7" t="n">
        <v>0</v>
      </c>
    </row>
    <row r="425" customFormat="false" ht="15" hidden="false" customHeight="false" outlineLevel="0" collapsed="false">
      <c r="A425" s="4" t="s">
        <v>371</v>
      </c>
      <c r="B425" s="4" t="s">
        <v>372</v>
      </c>
      <c r="C425" s="4" t="s">
        <v>101</v>
      </c>
      <c r="D425" s="4" t="s">
        <v>61</v>
      </c>
      <c r="E425" s="4" t="s">
        <v>91</v>
      </c>
      <c r="F425" s="7" t="n">
        <v>1035.19412838248</v>
      </c>
      <c r="G425" s="7" t="n">
        <v>779.8965914906</v>
      </c>
      <c r="H425" s="7" t="n">
        <v>780.971891349809</v>
      </c>
      <c r="I425" s="7" t="n">
        <v>851.342715140316</v>
      </c>
      <c r="J425" s="7" t="n">
        <v>573.288932946914</v>
      </c>
      <c r="K425" s="7" t="n">
        <v>558.379210650425</v>
      </c>
      <c r="L425" s="7" t="n">
        <v>1062.41257798168</v>
      </c>
      <c r="M425" s="7" t="n">
        <v>738.943686927644</v>
      </c>
      <c r="N425" s="7" t="n">
        <v>908.615930377713</v>
      </c>
      <c r="O425" s="7" t="n">
        <v>1925.63144183363</v>
      </c>
      <c r="P425" s="7" t="n">
        <v>605.574433867537</v>
      </c>
      <c r="Q425" s="7" t="n">
        <v>766.576136769904</v>
      </c>
      <c r="R425" s="7" t="n">
        <v>1780.11239146861</v>
      </c>
      <c r="S425" s="7" t="n">
        <v>1613.19445951771</v>
      </c>
      <c r="T425" s="7" t="n">
        <v>299.483732025218</v>
      </c>
      <c r="U425" s="7" t="n">
        <v>428.187056710038</v>
      </c>
      <c r="V425" s="7" t="n">
        <v>459.60196794132</v>
      </c>
      <c r="W425" s="7" t="n">
        <v>2215.04599996488</v>
      </c>
      <c r="X425" s="7" t="n">
        <v>1092.30307893379</v>
      </c>
      <c r="Y425" s="7" t="n">
        <v>0</v>
      </c>
      <c r="Z425" s="7" t="n">
        <v>0</v>
      </c>
      <c r="AA425" s="7" t="n">
        <v>0</v>
      </c>
      <c r="AB425" s="7" t="n">
        <v>0</v>
      </c>
    </row>
    <row r="426" customFormat="false" ht="15" hidden="false" customHeight="false" outlineLevel="0" collapsed="false">
      <c r="A426" s="4" t="s">
        <v>371</v>
      </c>
      <c r="B426" s="4" t="s">
        <v>372</v>
      </c>
      <c r="C426" s="4" t="s">
        <v>101</v>
      </c>
      <c r="D426" s="4" t="s">
        <v>61</v>
      </c>
      <c r="E426" s="4" t="s">
        <v>92</v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7" t="n">
        <v>1065.39284855284</v>
      </c>
      <c r="AA426" s="7" t="n">
        <v>1240.28341939149</v>
      </c>
      <c r="AB426" s="7" t="n">
        <v>824.761401075106</v>
      </c>
    </row>
    <row r="427" customFormat="false" ht="15" hidden="false" customHeight="false" outlineLevel="0" collapsed="false">
      <c r="A427" s="4" t="s">
        <v>371</v>
      </c>
      <c r="B427" s="4" t="s">
        <v>372</v>
      </c>
      <c r="C427" s="4" t="s">
        <v>101</v>
      </c>
      <c r="D427" s="4" t="s">
        <v>61</v>
      </c>
      <c r="E427" s="4" t="s">
        <v>93</v>
      </c>
      <c r="F427" s="7" t="n">
        <v>202.769338268003</v>
      </c>
      <c r="G427" s="7" t="n">
        <v>88.6907254621185</v>
      </c>
      <c r="H427" s="7" t="n">
        <v>147.877765406137</v>
      </c>
      <c r="I427" s="7" t="n">
        <v>184.233178392925</v>
      </c>
      <c r="J427" s="7" t="n">
        <v>103.232096340123</v>
      </c>
      <c r="K427" s="7" t="n">
        <v>90.8989561976479</v>
      </c>
      <c r="L427" s="7" t="n">
        <v>140.805272427305</v>
      </c>
      <c r="M427" s="7" t="n">
        <v>116.01976418243</v>
      </c>
      <c r="N427" s="7" t="n">
        <v>168.042385137233</v>
      </c>
      <c r="O427" s="7" t="n">
        <v>184.172059721428</v>
      </c>
      <c r="P427" s="7" t="n">
        <v>91.3135121419605</v>
      </c>
      <c r="Q427" s="7" t="n">
        <v>109.152297342238</v>
      </c>
      <c r="R427" s="7" t="n">
        <v>409.149986517043</v>
      </c>
      <c r="S427" s="7" t="n">
        <v>582.263165582318</v>
      </c>
      <c r="T427" s="7" t="n">
        <v>617.150253009991</v>
      </c>
      <c r="U427" s="7" t="n">
        <v>834.409664498147</v>
      </c>
      <c r="V427" s="7" t="n">
        <v>819.995369546138</v>
      </c>
      <c r="W427" s="7" t="n">
        <v>1000</v>
      </c>
      <c r="X427" s="7" t="n">
        <v>961.701071690755</v>
      </c>
      <c r="Y427" s="7" t="n">
        <v>1000</v>
      </c>
      <c r="Z427" s="7" t="n">
        <v>1000</v>
      </c>
      <c r="AA427" s="7" t="n">
        <v>938.67305227058</v>
      </c>
      <c r="AB427" s="7" t="n">
        <v>1000</v>
      </c>
    </row>
    <row r="428" customFormat="false" ht="15" hidden="false" customHeight="false" outlineLevel="0" collapsed="false">
      <c r="A428" s="4" t="s">
        <v>373</v>
      </c>
      <c r="B428" s="4" t="s">
        <v>374</v>
      </c>
      <c r="C428" s="4" t="s">
        <v>101</v>
      </c>
      <c r="D428" s="4" t="s">
        <v>63</v>
      </c>
      <c r="E428" s="4" t="s">
        <v>91</v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17.2209931974752</v>
      </c>
      <c r="R428" s="7" t="n">
        <v>17.3760114293851</v>
      </c>
      <c r="S428" s="7" t="n">
        <v>12.5980625265351</v>
      </c>
      <c r="T428" s="7" t="n">
        <v>8.30370655463451</v>
      </c>
      <c r="U428" s="7" t="n">
        <v>25.5240823774879</v>
      </c>
      <c r="V428" s="7" t="n">
        <v>44.0329328141049</v>
      </c>
      <c r="W428" s="7" t="n">
        <v>8.71348045114862</v>
      </c>
      <c r="X428" s="7" t="n">
        <v>13.0239861960677</v>
      </c>
      <c r="Y428" s="7" t="n">
        <v>7.52571151408687</v>
      </c>
      <c r="Z428" s="7" t="n">
        <v>4.5025102354152</v>
      </c>
      <c r="AA428" s="7" t="n">
        <v>4.54249707370635</v>
      </c>
      <c r="AB428" s="7" t="n">
        <v>4.32471002235989</v>
      </c>
    </row>
    <row r="429" customFormat="false" ht="15" hidden="false" customHeight="false" outlineLevel="0" collapsed="false">
      <c r="A429" s="4" t="s">
        <v>373</v>
      </c>
      <c r="B429" s="4" t="s">
        <v>374</v>
      </c>
      <c r="C429" s="4" t="s">
        <v>101</v>
      </c>
      <c r="D429" s="4" t="s">
        <v>63</v>
      </c>
      <c r="E429" s="4" t="s">
        <v>92</v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0</v>
      </c>
      <c r="M429" s="7" t="n">
        <v>0</v>
      </c>
      <c r="N429" s="7" t="n">
        <v>0</v>
      </c>
      <c r="O429" s="7" t="n">
        <v>0</v>
      </c>
      <c r="P429" s="7" t="n">
        <v>0</v>
      </c>
      <c r="Q429" s="7" t="n">
        <v>6.94449478422022</v>
      </c>
      <c r="R429" s="7" t="n">
        <v>2.86952119535886</v>
      </c>
      <c r="S429" s="7" t="n">
        <v>1.59236964406149</v>
      </c>
      <c r="T429" s="7" t="n">
        <v>0.811304077689714</v>
      </c>
      <c r="U429" s="7" t="n">
        <v>10.9539323014672</v>
      </c>
      <c r="V429" s="7" t="n">
        <v>48.5417990828677</v>
      </c>
      <c r="W429" s="7" t="n">
        <v>24.7250294609608</v>
      </c>
      <c r="X429" s="7" t="n">
        <v>44.1985002724382</v>
      </c>
      <c r="Y429" s="7" t="n">
        <v>70.218084744458</v>
      </c>
      <c r="Z429" s="7" t="n">
        <v>49.1602522157567</v>
      </c>
      <c r="AA429" s="7" t="n">
        <v>42.9591099514401</v>
      </c>
      <c r="AB429" s="7" t="n">
        <v>42.7826995967807</v>
      </c>
    </row>
    <row r="430" customFormat="false" ht="15" hidden="false" customHeight="false" outlineLevel="0" collapsed="false">
      <c r="A430" s="4" t="s">
        <v>373</v>
      </c>
      <c r="B430" s="4" t="s">
        <v>374</v>
      </c>
      <c r="C430" s="4" t="s">
        <v>101</v>
      </c>
      <c r="D430" s="4" t="s">
        <v>63</v>
      </c>
      <c r="E430" s="4" t="s">
        <v>93</v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0.0459567387635886</v>
      </c>
      <c r="R430" s="7" t="n">
        <v>0.0191428144219796</v>
      </c>
      <c r="S430" s="7" t="n">
        <v>0.00255894012358834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0</v>
      </c>
      <c r="Z430" s="7" t="n">
        <v>0</v>
      </c>
      <c r="AA430" s="7" t="n">
        <v>0</v>
      </c>
      <c r="AB430" s="7" t="n">
        <v>0</v>
      </c>
    </row>
    <row r="431" customFormat="false" ht="15" hidden="false" customHeight="false" outlineLevel="0" collapsed="false">
      <c r="A431" s="4" t="s">
        <v>375</v>
      </c>
      <c r="B431" s="4" t="s">
        <v>376</v>
      </c>
      <c r="C431" s="4" t="s">
        <v>101</v>
      </c>
      <c r="D431" s="4" t="s">
        <v>75</v>
      </c>
      <c r="E431" s="4" t="s">
        <v>91</v>
      </c>
      <c r="F431" s="7" t="n">
        <v>1505.72850235951</v>
      </c>
      <c r="G431" s="7" t="n">
        <v>3462.45342563748</v>
      </c>
      <c r="H431" s="7" t="n">
        <v>342.928386951295</v>
      </c>
      <c r="I431" s="7" t="n">
        <v>2466.22979372068</v>
      </c>
      <c r="J431" s="7" t="n">
        <v>1718.03006773389</v>
      </c>
      <c r="K431" s="7" t="n">
        <v>4115.57212122401</v>
      </c>
      <c r="L431" s="7" t="n">
        <v>3405.75814835579</v>
      </c>
      <c r="M431" s="7" t="n">
        <v>3456.70869784629</v>
      </c>
      <c r="N431" s="7" t="n">
        <v>3642.74619123734</v>
      </c>
      <c r="O431" s="7" t="n">
        <v>1803.99060649107</v>
      </c>
      <c r="P431" s="7" t="n">
        <v>3606.88896307209</v>
      </c>
      <c r="Q431" s="7" t="n">
        <v>0</v>
      </c>
      <c r="R431" s="7" t="n">
        <v>0</v>
      </c>
      <c r="S431" s="7" t="n">
        <v>0</v>
      </c>
      <c r="T431" s="7" t="n">
        <v>0</v>
      </c>
      <c r="U431" s="7" t="n">
        <v>0</v>
      </c>
      <c r="V431" s="7" t="n">
        <v>0</v>
      </c>
      <c r="W431" s="7" t="n">
        <v>0</v>
      </c>
      <c r="X431" s="7" t="n">
        <v>0</v>
      </c>
      <c r="Y431" s="7" t="n">
        <v>0</v>
      </c>
      <c r="Z431" s="7" t="n">
        <v>0</v>
      </c>
      <c r="AA431" s="7" t="n">
        <v>0</v>
      </c>
      <c r="AB431" s="7" t="n">
        <v>0</v>
      </c>
    </row>
    <row r="432" customFormat="false" ht="15" hidden="false" customHeight="false" outlineLevel="0" collapsed="false">
      <c r="A432" s="4" t="s">
        <v>375</v>
      </c>
      <c r="B432" s="4" t="s">
        <v>376</v>
      </c>
      <c r="C432" s="4" t="s">
        <v>101</v>
      </c>
      <c r="D432" s="4" t="s">
        <v>75</v>
      </c>
      <c r="E432" s="4" t="s">
        <v>92</v>
      </c>
      <c r="F432" s="7" t="n">
        <v>1474.02889243482</v>
      </c>
      <c r="G432" s="7" t="n">
        <v>1403.45023063373</v>
      </c>
      <c r="H432" s="7" t="n">
        <v>1063.95936484142</v>
      </c>
      <c r="I432" s="7" t="n">
        <v>2955.47853705573</v>
      </c>
      <c r="J432" s="7" t="n">
        <v>3743.44726775745</v>
      </c>
      <c r="K432" s="7" t="n">
        <v>915.173018119768</v>
      </c>
      <c r="L432" s="7" t="n">
        <v>1249.45364310669</v>
      </c>
      <c r="M432" s="7" t="n">
        <v>1242.43309935315</v>
      </c>
      <c r="N432" s="7" t="n">
        <v>493.692622730889</v>
      </c>
      <c r="O432" s="7" t="n">
        <v>228.41336946025</v>
      </c>
      <c r="P432" s="7" t="n">
        <v>329.935463270557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0</v>
      </c>
      <c r="Z432" s="7" t="n">
        <v>0</v>
      </c>
      <c r="AA432" s="7" t="n">
        <v>0</v>
      </c>
      <c r="AB432" s="7" t="n">
        <v>0</v>
      </c>
    </row>
    <row r="433" customFormat="false" ht="15" hidden="false" customHeight="false" outlineLevel="0" collapsed="false">
      <c r="A433" s="4" t="s">
        <v>375</v>
      </c>
      <c r="B433" s="4" t="s">
        <v>376</v>
      </c>
      <c r="C433" s="4" t="s">
        <v>101</v>
      </c>
      <c r="D433" s="4" t="s">
        <v>75</v>
      </c>
      <c r="E433" s="4" t="s">
        <v>93</v>
      </c>
      <c r="F433" s="7" t="n">
        <v>1.64023496432953</v>
      </c>
      <c r="G433" s="7" t="n">
        <v>2.91114482773285</v>
      </c>
      <c r="H433" s="7" t="n">
        <v>9.09710034971384</v>
      </c>
      <c r="I433" s="7" t="n">
        <v>21.2400254599427</v>
      </c>
      <c r="J433" s="7" t="n">
        <v>5.78266446109668</v>
      </c>
      <c r="K433" s="7" t="n">
        <v>6.58091292878702</v>
      </c>
      <c r="L433" s="7" t="n">
        <v>18.5124334107887</v>
      </c>
      <c r="M433" s="7" t="n">
        <v>14.3727796668456</v>
      </c>
      <c r="N433" s="7" t="n">
        <v>8.15863757641184</v>
      </c>
      <c r="O433" s="7" t="n">
        <v>12.000785432981</v>
      </c>
      <c r="P433" s="7" t="n">
        <v>29.2418373268091</v>
      </c>
      <c r="Q433" s="7" t="n">
        <v>0</v>
      </c>
      <c r="R433" s="7" t="n">
        <v>0</v>
      </c>
      <c r="S433" s="7" t="n">
        <v>0</v>
      </c>
      <c r="T433" s="7" t="n">
        <v>0</v>
      </c>
      <c r="U433" s="7" t="n">
        <v>0</v>
      </c>
      <c r="V433" s="7" t="n">
        <v>0</v>
      </c>
      <c r="W433" s="7" t="n">
        <v>0</v>
      </c>
      <c r="X433" s="7" t="n">
        <v>0</v>
      </c>
      <c r="Y433" s="7" t="n">
        <v>0</v>
      </c>
      <c r="Z433" s="7" t="n">
        <v>0</v>
      </c>
      <c r="AA433" s="7" t="n">
        <v>0</v>
      </c>
      <c r="AB433" s="7" t="n">
        <v>0</v>
      </c>
    </row>
    <row r="434" customFormat="false" ht="15" hidden="false" customHeight="false" outlineLevel="0" collapsed="false">
      <c r="A434" s="4" t="s">
        <v>377</v>
      </c>
      <c r="B434" s="4" t="s">
        <v>378</v>
      </c>
      <c r="C434" s="4" t="s">
        <v>101</v>
      </c>
      <c r="D434" s="4" t="s">
        <v>57</v>
      </c>
      <c r="E434" s="4" t="s">
        <v>91</v>
      </c>
      <c r="F434" s="7" t="n">
        <v>11.7689702404546</v>
      </c>
      <c r="G434" s="7" t="n">
        <v>60.2521426513672</v>
      </c>
      <c r="H434" s="7" t="n">
        <v>1.57372302246094</v>
      </c>
      <c r="I434" s="7" t="n">
        <v>5.85156918945313</v>
      </c>
      <c r="J434" s="7" t="n">
        <v>22.0865673362422</v>
      </c>
      <c r="K434" s="7" t="n">
        <v>22.352288055913</v>
      </c>
      <c r="L434" s="7" t="n">
        <v>70.1143941399177</v>
      </c>
      <c r="M434" s="7" t="n">
        <v>12.6951759143785</v>
      </c>
      <c r="N434" s="7" t="n">
        <v>37.3636157043457</v>
      </c>
      <c r="O434" s="7" t="n">
        <v>28.8218008294079</v>
      </c>
      <c r="P434" s="7" t="n">
        <v>19.8929756858936</v>
      </c>
      <c r="Q434" s="7" t="n">
        <v>25.5734764628655</v>
      </c>
      <c r="R434" s="7" t="n">
        <v>74.4281599844064</v>
      </c>
      <c r="S434" s="7" t="n">
        <v>46.3331355388513</v>
      </c>
      <c r="T434" s="7" t="n">
        <v>36.4083777347694</v>
      </c>
      <c r="U434" s="7" t="n">
        <v>34.5272238133423</v>
      </c>
      <c r="V434" s="7" t="n">
        <v>45.2407605432185</v>
      </c>
      <c r="W434" s="7" t="n">
        <v>16.8525491678583</v>
      </c>
      <c r="X434" s="7" t="n">
        <v>11.9782496931585</v>
      </c>
      <c r="Y434" s="7" t="n">
        <v>16.9496747885819</v>
      </c>
      <c r="Z434" s="7" t="n">
        <v>3.07785547613725</v>
      </c>
      <c r="AA434" s="7" t="n">
        <v>5.08218253211046</v>
      </c>
      <c r="AB434" s="7" t="n">
        <v>7.7170805847779</v>
      </c>
    </row>
    <row r="435" customFormat="false" ht="15" hidden="false" customHeight="false" outlineLevel="0" collapsed="false">
      <c r="A435" s="4" t="s">
        <v>377</v>
      </c>
      <c r="B435" s="4" t="s">
        <v>378</v>
      </c>
      <c r="C435" s="4" t="s">
        <v>101</v>
      </c>
      <c r="D435" s="4" t="s">
        <v>57</v>
      </c>
      <c r="E435" s="4" t="s">
        <v>92</v>
      </c>
      <c r="F435" s="7" t="n">
        <v>30.697526942402</v>
      </c>
      <c r="G435" s="7" t="n">
        <v>0</v>
      </c>
      <c r="H435" s="7" t="n">
        <v>0</v>
      </c>
      <c r="I435" s="7" t="n">
        <v>0</v>
      </c>
      <c r="J435" s="7" t="n">
        <v>0.348364553645614</v>
      </c>
      <c r="K435" s="7" t="n">
        <v>0.100110833247189</v>
      </c>
      <c r="L435" s="7" t="n">
        <v>0.412233301488546</v>
      </c>
      <c r="M435" s="7" t="n">
        <v>55.2317736999512</v>
      </c>
      <c r="N435" s="7" t="n">
        <v>42.1235880004883</v>
      </c>
      <c r="O435" s="7" t="n">
        <v>37.8241046516209</v>
      </c>
      <c r="P435" s="7" t="n">
        <v>6.68288144911617</v>
      </c>
      <c r="Q435" s="7" t="n">
        <v>0.386128017115006</v>
      </c>
      <c r="R435" s="7" t="n">
        <v>0.83733321859893</v>
      </c>
      <c r="S435" s="7" t="n">
        <v>0.429822865689729</v>
      </c>
      <c r="T435" s="7" t="n">
        <v>1.13561427572863</v>
      </c>
      <c r="U435" s="7" t="n">
        <v>0.599116421032757</v>
      </c>
      <c r="V435" s="7" t="n">
        <v>4.44268364506179</v>
      </c>
      <c r="W435" s="7" t="n">
        <v>2.3639185018194</v>
      </c>
      <c r="X435" s="7" t="n">
        <v>3.19222736372627</v>
      </c>
      <c r="Y435" s="7" t="n">
        <v>1.225990396965</v>
      </c>
      <c r="Z435" s="7" t="n">
        <v>1.87981558709518</v>
      </c>
      <c r="AA435" s="7" t="n">
        <v>2.55506395793722</v>
      </c>
      <c r="AB435" s="7" t="n">
        <v>1.438052137414</v>
      </c>
    </row>
    <row r="436" customFormat="false" ht="15" hidden="false" customHeight="false" outlineLevel="0" collapsed="false">
      <c r="A436" s="4" t="s">
        <v>377</v>
      </c>
      <c r="B436" s="4" t="s">
        <v>378</v>
      </c>
      <c r="C436" s="4" t="s">
        <v>101</v>
      </c>
      <c r="D436" s="4" t="s">
        <v>57</v>
      </c>
      <c r="E436" s="4" t="s">
        <v>93</v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</v>
      </c>
      <c r="W436" s="7" t="n">
        <v>0</v>
      </c>
      <c r="X436" s="7" t="n">
        <v>0</v>
      </c>
      <c r="Y436" s="7" t="n">
        <v>0</v>
      </c>
      <c r="Z436" s="7" t="n">
        <v>0</v>
      </c>
      <c r="AA436" s="7" t="n">
        <v>0</v>
      </c>
      <c r="AB436" s="7" t="n">
        <v>0</v>
      </c>
    </row>
    <row r="437" customFormat="false" ht="15" hidden="false" customHeight="false" outlineLevel="0" collapsed="false">
      <c r="A437" s="4" t="s">
        <v>379</v>
      </c>
      <c r="B437" s="4" t="s">
        <v>380</v>
      </c>
      <c r="C437" s="4" t="s">
        <v>146</v>
      </c>
      <c r="D437" s="4" t="s">
        <v>47</v>
      </c>
      <c r="E437" s="4" t="s">
        <v>91</v>
      </c>
      <c r="F437" s="7" t="n">
        <v>11.9478485501856</v>
      </c>
      <c r="G437" s="7" t="n">
        <v>29.9241136908372</v>
      </c>
      <c r="H437" s="7" t="n">
        <v>0.845536335945565</v>
      </c>
      <c r="I437" s="7" t="n">
        <v>2.89739946263135</v>
      </c>
      <c r="J437" s="7" t="n">
        <v>10</v>
      </c>
      <c r="K437" s="7" t="n">
        <v>5.66666666666667</v>
      </c>
      <c r="L437" s="7" t="n">
        <v>5.35102195557602</v>
      </c>
      <c r="M437" s="7" t="n">
        <v>17.5865307607801</v>
      </c>
      <c r="N437" s="7" t="n">
        <v>25.6045210286985</v>
      </c>
      <c r="O437" s="7" t="n">
        <v>6.22504610649551</v>
      </c>
      <c r="P437" s="7" t="n">
        <v>11.3397827807135</v>
      </c>
      <c r="Q437" s="7" t="n">
        <v>14.3333333333333</v>
      </c>
      <c r="R437" s="7" t="n">
        <v>0.743344797874484</v>
      </c>
      <c r="S437" s="7" t="n">
        <v>13.6666666666667</v>
      </c>
      <c r="T437" s="7" t="n">
        <v>10.2879695769647</v>
      </c>
      <c r="U437" s="7" t="n">
        <v>25.3596366444104</v>
      </c>
      <c r="V437" s="7" t="n">
        <v>42.6666666666667</v>
      </c>
      <c r="W437" s="7" t="n">
        <v>25.6152774658203</v>
      </c>
      <c r="X437" s="7" t="n">
        <v>5</v>
      </c>
      <c r="Y437" s="7" t="n">
        <v>11</v>
      </c>
      <c r="Z437" s="7" t="n">
        <v>4.5</v>
      </c>
      <c r="AA437" s="7" t="n">
        <v>14</v>
      </c>
      <c r="AB437" s="7" t="n">
        <v>7.32140243376586</v>
      </c>
    </row>
    <row r="438" customFormat="false" ht="15" hidden="false" customHeight="false" outlineLevel="0" collapsed="false">
      <c r="A438" s="4" t="s">
        <v>379</v>
      </c>
      <c r="B438" s="4" t="s">
        <v>380</v>
      </c>
      <c r="C438" s="4" t="s">
        <v>146</v>
      </c>
      <c r="D438" s="4" t="s">
        <v>47</v>
      </c>
      <c r="E438" s="4" t="s">
        <v>92</v>
      </c>
      <c r="F438" s="7" t="n">
        <v>1.62707815133091</v>
      </c>
      <c r="G438" s="7" t="n">
        <v>4.40972485599949</v>
      </c>
      <c r="H438" s="7" t="n">
        <v>0.077390873527091</v>
      </c>
      <c r="I438" s="7" t="n">
        <v>0.387130129007555</v>
      </c>
      <c r="J438" s="7" t="n">
        <v>1.03846538252852</v>
      </c>
      <c r="K438" s="7" t="n">
        <v>0.554686427623446</v>
      </c>
      <c r="L438" s="7" t="n">
        <v>0.631534407542474</v>
      </c>
      <c r="M438" s="7" t="n">
        <v>2.17981125007697</v>
      </c>
      <c r="N438" s="7" t="n">
        <v>2.82509725101959</v>
      </c>
      <c r="O438" s="7" t="n">
        <v>0.666853285666141</v>
      </c>
      <c r="P438" s="7" t="n">
        <v>1.3357448309449</v>
      </c>
      <c r="Q438" s="7" t="n">
        <v>1.72276022795878</v>
      </c>
      <c r="R438" s="7" t="n">
        <v>0.0679750393172288</v>
      </c>
      <c r="S438" s="7" t="n">
        <v>1.42964526647618</v>
      </c>
      <c r="T438" s="7" t="n">
        <v>0.633325143494261</v>
      </c>
      <c r="U438" s="7" t="n">
        <v>3.48237476306027</v>
      </c>
      <c r="V438" s="7" t="n">
        <v>3.19408512193497</v>
      </c>
      <c r="W438" s="7" t="n">
        <v>0.21909118740692</v>
      </c>
      <c r="X438" s="7" t="n">
        <v>0.282855332281696</v>
      </c>
      <c r="Y438" s="7" t="n">
        <v>1.38780597270191</v>
      </c>
      <c r="Z438" s="7" t="n">
        <v>0.662706061661451</v>
      </c>
      <c r="AA438" s="7" t="n">
        <v>1.89714745477037</v>
      </c>
      <c r="AB438" s="7" t="n">
        <v>0.912090041176741</v>
      </c>
    </row>
    <row r="439" customFormat="false" ht="15" hidden="false" customHeight="false" outlineLevel="0" collapsed="false">
      <c r="A439" s="4" t="s">
        <v>379</v>
      </c>
      <c r="B439" s="4" t="s">
        <v>380</v>
      </c>
      <c r="C439" s="4" t="s">
        <v>146</v>
      </c>
      <c r="D439" s="4" t="s">
        <v>47</v>
      </c>
      <c r="E439" s="4" t="s">
        <v>93</v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0</v>
      </c>
      <c r="O439" s="7" t="n">
        <v>0</v>
      </c>
      <c r="P439" s="7" t="n">
        <v>0</v>
      </c>
      <c r="Q439" s="7" t="n">
        <v>0</v>
      </c>
      <c r="R439" s="7" t="n">
        <v>0</v>
      </c>
      <c r="S439" s="7" t="n">
        <v>0</v>
      </c>
      <c r="T439" s="7" t="n">
        <v>0</v>
      </c>
      <c r="U439" s="7" t="n">
        <v>0</v>
      </c>
      <c r="V439" s="7" t="n">
        <v>0</v>
      </c>
      <c r="W439" s="7" t="n">
        <v>0</v>
      </c>
      <c r="X439" s="7" t="n">
        <v>0</v>
      </c>
      <c r="Y439" s="7" t="n">
        <v>0</v>
      </c>
      <c r="Z439" s="7" t="n">
        <v>0</v>
      </c>
      <c r="AA439" s="7" t="n">
        <v>0</v>
      </c>
      <c r="AB439" s="7" t="n">
        <v>0</v>
      </c>
    </row>
    <row r="440" customFormat="false" ht="15" hidden="false" customHeight="false" outlineLevel="0" collapsed="false">
      <c r="A440" s="4" t="s">
        <v>381</v>
      </c>
      <c r="B440" s="4" t="s">
        <v>382</v>
      </c>
      <c r="C440" s="4" t="s">
        <v>115</v>
      </c>
      <c r="D440" s="4" t="s">
        <v>39</v>
      </c>
      <c r="E440" s="4" t="s">
        <v>91</v>
      </c>
      <c r="F440" s="7" t="n">
        <v>828.941997195196</v>
      </c>
      <c r="G440" s="7" t="n">
        <v>1459.60955880396</v>
      </c>
      <c r="H440" s="7" t="n">
        <v>1016.78976550889</v>
      </c>
      <c r="I440" s="7" t="n">
        <v>1289.82078815485</v>
      </c>
      <c r="J440" s="7" t="n">
        <v>1318.4701148437</v>
      </c>
      <c r="K440" s="7" t="n">
        <v>2076</v>
      </c>
      <c r="L440" s="7" t="n">
        <v>73.6348838565841</v>
      </c>
      <c r="M440" s="7" t="n">
        <v>72.0544601285808</v>
      </c>
      <c r="N440" s="7" t="n">
        <v>27.4818197541839</v>
      </c>
      <c r="O440" s="7" t="n">
        <v>1650.09426573473</v>
      </c>
      <c r="P440" s="7" t="n">
        <v>1118.29028522018</v>
      </c>
      <c r="Q440" s="7" t="n">
        <v>1385.00209449694</v>
      </c>
      <c r="R440" s="7" t="n">
        <v>1241.66666666667</v>
      </c>
      <c r="S440" s="7" t="n">
        <v>828.666669224855</v>
      </c>
      <c r="T440" s="7" t="n">
        <v>1083.05485994809</v>
      </c>
      <c r="U440" s="7" t="n">
        <v>810.100000000006</v>
      </c>
      <c r="V440" s="7" t="n">
        <v>700.566666666661</v>
      </c>
      <c r="W440" s="7" t="n">
        <v>1805.66666666667</v>
      </c>
      <c r="X440" s="7" t="n">
        <v>1301.20824075011</v>
      </c>
      <c r="Y440" s="7" t="n">
        <v>1707.44062594408</v>
      </c>
      <c r="Z440" s="7" t="n">
        <v>179.284137881687</v>
      </c>
      <c r="AA440" s="7" t="n">
        <v>2107</v>
      </c>
      <c r="AB440" s="7" t="n">
        <v>1331.20730646922</v>
      </c>
    </row>
    <row r="441" customFormat="false" ht="15" hidden="false" customHeight="false" outlineLevel="0" collapsed="false">
      <c r="A441" s="4" t="s">
        <v>381</v>
      </c>
      <c r="B441" s="4" t="s">
        <v>382</v>
      </c>
      <c r="C441" s="4" t="s">
        <v>115</v>
      </c>
      <c r="D441" s="4" t="s">
        <v>39</v>
      </c>
      <c r="E441" s="4" t="s">
        <v>92</v>
      </c>
      <c r="F441" s="7" t="n">
        <v>280.049608554913</v>
      </c>
      <c r="G441" s="7" t="n">
        <v>37.9585167800862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203.801979232887</v>
      </c>
      <c r="M441" s="7" t="n">
        <v>77.6039474478278</v>
      </c>
      <c r="N441" s="7" t="n">
        <v>147.603947447828</v>
      </c>
      <c r="O441" s="7" t="n">
        <v>0</v>
      </c>
      <c r="P441" s="7" t="n">
        <v>0</v>
      </c>
      <c r="Q441" s="7" t="n">
        <v>0</v>
      </c>
      <c r="R441" s="7" t="n">
        <v>0</v>
      </c>
      <c r="S441" s="7" t="n">
        <v>0</v>
      </c>
      <c r="T441" s="7" t="n">
        <v>0</v>
      </c>
      <c r="U441" s="7" t="n">
        <v>0</v>
      </c>
      <c r="V441" s="7" t="n">
        <v>0</v>
      </c>
      <c r="W441" s="7" t="n">
        <v>0</v>
      </c>
      <c r="X441" s="7" t="n">
        <v>0</v>
      </c>
      <c r="Y441" s="7" t="n">
        <v>0</v>
      </c>
      <c r="Z441" s="7" t="n">
        <v>0</v>
      </c>
      <c r="AA441" s="7" t="n">
        <v>0</v>
      </c>
      <c r="AB441" s="7" t="n">
        <v>0</v>
      </c>
    </row>
    <row r="442" customFormat="false" ht="15" hidden="false" customHeight="false" outlineLevel="0" collapsed="false">
      <c r="A442" s="4" t="s">
        <v>381</v>
      </c>
      <c r="B442" s="4" t="s">
        <v>382</v>
      </c>
      <c r="C442" s="4" t="s">
        <v>115</v>
      </c>
      <c r="D442" s="4" t="s">
        <v>39</v>
      </c>
      <c r="E442" s="4" t="s">
        <v>93</v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0</v>
      </c>
      <c r="Y442" s="7" t="n">
        <v>0</v>
      </c>
      <c r="Z442" s="7" t="n">
        <v>0</v>
      </c>
      <c r="AA442" s="7" t="n">
        <v>0</v>
      </c>
      <c r="AB442" s="7" t="n">
        <v>0</v>
      </c>
    </row>
    <row r="443" customFormat="false" ht="15" hidden="false" customHeight="false" outlineLevel="0" collapsed="false">
      <c r="A443" s="4" t="s">
        <v>383</v>
      </c>
      <c r="B443" s="4" t="s">
        <v>384</v>
      </c>
      <c r="C443" s="4" t="s">
        <v>101</v>
      </c>
      <c r="D443" s="4" t="s">
        <v>57</v>
      </c>
      <c r="E443" s="4" t="s">
        <v>91</v>
      </c>
      <c r="F443" s="7" t="n">
        <v>729.342281555564</v>
      </c>
      <c r="G443" s="7" t="n">
        <v>396.912420117457</v>
      </c>
      <c r="H443" s="7" t="n">
        <v>349.80648514132</v>
      </c>
      <c r="I443" s="7" t="n">
        <v>1.36953787841797</v>
      </c>
      <c r="J443" s="7" t="n">
        <v>38.99882053833</v>
      </c>
      <c r="K443" s="7" t="n">
        <v>68.7874049987793</v>
      </c>
      <c r="L443" s="7" t="n">
        <v>494.284469521192</v>
      </c>
      <c r="M443" s="7" t="n">
        <v>395.198920294666</v>
      </c>
      <c r="N443" s="7" t="n">
        <v>655.655352420751</v>
      </c>
      <c r="O443" s="7" t="n">
        <v>230.906135011363</v>
      </c>
      <c r="P443" s="7" t="n">
        <v>88.304784564209</v>
      </c>
      <c r="Q443" s="7" t="n">
        <v>513.310431719151</v>
      </c>
      <c r="R443" s="7" t="n">
        <v>1529.08868544739</v>
      </c>
      <c r="S443" s="7" t="n">
        <v>3509.04333700459</v>
      </c>
      <c r="T443" s="7" t="n">
        <v>3129.31523344039</v>
      </c>
      <c r="U443" s="7" t="n">
        <v>2015.20059694261</v>
      </c>
      <c r="V443" s="7" t="n">
        <v>1941.11355464437</v>
      </c>
      <c r="W443" s="7" t="n">
        <v>1771.57377000642</v>
      </c>
      <c r="X443" s="7" t="n">
        <v>1837.35474125757</v>
      </c>
      <c r="Y443" s="7" t="n">
        <v>1915.30763299141</v>
      </c>
      <c r="Z443" s="7" t="n">
        <v>1559.49040881011</v>
      </c>
      <c r="AA443" s="7" t="n">
        <v>1763.42477130206</v>
      </c>
      <c r="AB443" s="7" t="n">
        <v>1664.08885152829</v>
      </c>
    </row>
    <row r="444" customFormat="false" ht="15" hidden="false" customHeight="false" outlineLevel="0" collapsed="false">
      <c r="A444" s="4" t="s">
        <v>383</v>
      </c>
      <c r="B444" s="4" t="s">
        <v>384</v>
      </c>
      <c r="C444" s="4" t="s">
        <v>101</v>
      </c>
      <c r="D444" s="4" t="s">
        <v>57</v>
      </c>
      <c r="E444" s="4" t="s">
        <v>92</v>
      </c>
      <c r="F444" s="7" t="n">
        <v>0</v>
      </c>
      <c r="G444" s="7" t="n">
        <v>0</v>
      </c>
      <c r="H444" s="7" t="n">
        <v>0</v>
      </c>
      <c r="I444" s="7" t="n">
        <v>126.120136367705</v>
      </c>
      <c r="J444" s="7" t="n">
        <v>207.188215632029</v>
      </c>
      <c r="K444" s="7" t="n">
        <v>833.456485758361</v>
      </c>
      <c r="L444" s="7" t="n">
        <v>0</v>
      </c>
      <c r="M444" s="7" t="n">
        <v>0</v>
      </c>
      <c r="N444" s="7" t="n">
        <v>37.916505572386</v>
      </c>
      <c r="O444" s="7" t="n">
        <v>18.9625682240752</v>
      </c>
      <c r="P444" s="7" t="n">
        <v>832.33479359626</v>
      </c>
      <c r="Q444" s="7" t="n">
        <v>0</v>
      </c>
      <c r="R444" s="7" t="n">
        <v>410.672743407463</v>
      </c>
      <c r="S444" s="7" t="n">
        <v>603.310737359743</v>
      </c>
      <c r="T444" s="7" t="n">
        <v>543.982684878286</v>
      </c>
      <c r="U444" s="7" t="n">
        <v>632.089139610714</v>
      </c>
      <c r="V444" s="7" t="n">
        <v>342.775759431893</v>
      </c>
      <c r="W444" s="7" t="n">
        <v>351.640512828868</v>
      </c>
      <c r="X444" s="7" t="n">
        <v>351.858880981272</v>
      </c>
      <c r="Y444" s="7" t="n">
        <v>841.835125040891</v>
      </c>
      <c r="Z444" s="7" t="n">
        <v>806.498254284818</v>
      </c>
      <c r="AA444" s="7" t="n">
        <v>730.759566073596</v>
      </c>
      <c r="AB444" s="7" t="n">
        <v>751.364597272696</v>
      </c>
    </row>
    <row r="445" customFormat="false" ht="15" hidden="false" customHeight="false" outlineLevel="0" collapsed="false">
      <c r="A445" s="4" t="s">
        <v>383</v>
      </c>
      <c r="B445" s="4" t="s">
        <v>384</v>
      </c>
      <c r="C445" s="4" t="s">
        <v>101</v>
      </c>
      <c r="D445" s="4" t="s">
        <v>57</v>
      </c>
      <c r="E445" s="4" t="s">
        <v>93</v>
      </c>
      <c r="F445" s="7" t="n">
        <v>2.65839539234297</v>
      </c>
      <c r="G445" s="7" t="n">
        <v>1.04962844546421</v>
      </c>
      <c r="H445" s="7" t="n">
        <v>0.564687345659481</v>
      </c>
      <c r="I445" s="7" t="n">
        <v>4.81697060397038</v>
      </c>
      <c r="J445" s="7" t="n">
        <v>6.99691481999066</v>
      </c>
      <c r="K445" s="7" t="n">
        <v>9.27761318398328</v>
      </c>
      <c r="L445" s="7" t="n">
        <v>2.80641290386615</v>
      </c>
      <c r="M445" s="7" t="n">
        <v>2.18392974128516</v>
      </c>
      <c r="N445" s="7" t="n">
        <v>3.75659413639117</v>
      </c>
      <c r="O445" s="7" t="n">
        <v>2.20548441104631</v>
      </c>
      <c r="P445" s="7" t="n">
        <v>13.4418495166795</v>
      </c>
      <c r="Q445" s="7" t="n">
        <v>0.491084084000011</v>
      </c>
      <c r="R445" s="7" t="n">
        <v>27.9342836508397</v>
      </c>
      <c r="S445" s="7" t="n">
        <v>21.2310946539898</v>
      </c>
      <c r="T445" s="7" t="n">
        <v>29.9152220984419</v>
      </c>
      <c r="U445" s="7" t="n">
        <v>11.8647737776526</v>
      </c>
      <c r="V445" s="7" t="n">
        <v>9.73272148598028</v>
      </c>
      <c r="W445" s="7" t="n">
        <v>10.3259577044277</v>
      </c>
      <c r="X445" s="7" t="n">
        <v>7.55464924581584</v>
      </c>
      <c r="Y445" s="7" t="n">
        <v>23.9675290206114</v>
      </c>
      <c r="Z445" s="7" t="n">
        <v>11.5733884005097</v>
      </c>
      <c r="AA445" s="7" t="n">
        <v>15.6404061606264</v>
      </c>
      <c r="AB445" s="7" t="n">
        <v>15.3098154063718</v>
      </c>
    </row>
    <row r="446" customFormat="false" ht="15" hidden="false" customHeight="false" outlineLevel="0" collapsed="false">
      <c r="A446" s="4" t="s">
        <v>385</v>
      </c>
      <c r="B446" s="4" t="s">
        <v>386</v>
      </c>
      <c r="C446" s="4" t="s">
        <v>112</v>
      </c>
      <c r="D446" s="4" t="s">
        <v>79</v>
      </c>
      <c r="E446" s="4" t="s">
        <v>91</v>
      </c>
      <c r="F446" s="7" t="n">
        <v>2948.65448567477</v>
      </c>
      <c r="G446" s="7" t="n">
        <v>62.9495460844392</v>
      </c>
      <c r="H446" s="7" t="n">
        <v>41.7247049187874</v>
      </c>
      <c r="I446" s="7" t="n">
        <v>48.7879124673283</v>
      </c>
      <c r="J446" s="7" t="n">
        <v>1698.16582740323</v>
      </c>
      <c r="K446" s="7" t="n">
        <v>1165.1283135637</v>
      </c>
      <c r="L446" s="7" t="n">
        <v>642.633206435047</v>
      </c>
      <c r="M446" s="7" t="n">
        <v>816.283645186255</v>
      </c>
      <c r="N446" s="7" t="n">
        <v>1031.22405284651</v>
      </c>
      <c r="O446" s="7" t="n">
        <v>601.36245670663</v>
      </c>
      <c r="P446" s="7" t="n">
        <v>674.539260310255</v>
      </c>
      <c r="Q446" s="7" t="n">
        <v>503.036495954548</v>
      </c>
      <c r="R446" s="7" t="n">
        <v>337.609749433777</v>
      </c>
      <c r="S446" s="7" t="n">
        <v>346.38315701746</v>
      </c>
      <c r="T446" s="7" t="n">
        <v>299.401386438589</v>
      </c>
      <c r="U446" s="7" t="n">
        <v>261.971288566291</v>
      </c>
      <c r="V446" s="7" t="n">
        <v>219.476680175176</v>
      </c>
      <c r="W446" s="7" t="n">
        <v>28.032787168197</v>
      </c>
      <c r="X446" s="7" t="n">
        <v>56.2707840506677</v>
      </c>
      <c r="Y446" s="7" t="n">
        <v>57.9765267895721</v>
      </c>
      <c r="Z446" s="7" t="n">
        <v>48.7815023256939</v>
      </c>
      <c r="AA446" s="7" t="n">
        <v>56.9135713055219</v>
      </c>
      <c r="AB446" s="7" t="n">
        <v>61.4639394465362</v>
      </c>
    </row>
    <row r="447" customFormat="false" ht="15" hidden="false" customHeight="false" outlineLevel="0" collapsed="false">
      <c r="A447" s="4" t="s">
        <v>385</v>
      </c>
      <c r="B447" s="4" t="s">
        <v>386</v>
      </c>
      <c r="C447" s="4" t="s">
        <v>112</v>
      </c>
      <c r="D447" s="4" t="s">
        <v>79</v>
      </c>
      <c r="E447" s="4" t="s">
        <v>92</v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0</v>
      </c>
      <c r="O447" s="7" t="n">
        <v>0</v>
      </c>
      <c r="P447" s="7" t="n">
        <v>0</v>
      </c>
      <c r="Q447" s="7" t="n">
        <v>0</v>
      </c>
      <c r="R447" s="7" t="n">
        <v>0</v>
      </c>
      <c r="S447" s="7" t="n">
        <v>0</v>
      </c>
      <c r="T447" s="7" t="n">
        <v>0</v>
      </c>
      <c r="U447" s="7" t="n">
        <v>0</v>
      </c>
      <c r="V447" s="7" t="n">
        <v>0</v>
      </c>
      <c r="W447" s="7" t="n">
        <v>67.4077414948766</v>
      </c>
      <c r="X447" s="7" t="n">
        <v>59.8584835524088</v>
      </c>
      <c r="Y447" s="7" t="n">
        <v>27.1518446041118</v>
      </c>
      <c r="Z447" s="7" t="n">
        <v>22.5275780033047</v>
      </c>
      <c r="AA447" s="7" t="n">
        <v>12.2870249381063</v>
      </c>
      <c r="AB447" s="7" t="n">
        <v>21.7654843622174</v>
      </c>
    </row>
    <row r="448" customFormat="false" ht="15" hidden="false" customHeight="false" outlineLevel="0" collapsed="false">
      <c r="A448" s="4" t="s">
        <v>385</v>
      </c>
      <c r="B448" s="4" t="s">
        <v>386</v>
      </c>
      <c r="C448" s="4" t="s">
        <v>112</v>
      </c>
      <c r="D448" s="4" t="s">
        <v>79</v>
      </c>
      <c r="E448" s="4" t="s">
        <v>93</v>
      </c>
      <c r="F448" s="7" t="n">
        <v>1.40025607856551</v>
      </c>
      <c r="G448" s="7" t="n">
        <v>28.9566875061035</v>
      </c>
      <c r="H448" s="7" t="n">
        <v>26.6872371680645</v>
      </c>
      <c r="I448" s="7" t="n">
        <v>23.4275619262695</v>
      </c>
      <c r="J448" s="7" t="n">
        <v>0.815310447661341</v>
      </c>
      <c r="K448" s="7" t="n">
        <v>1.60478643616124</v>
      </c>
      <c r="L448" s="7" t="n">
        <v>3.70707964482035</v>
      </c>
      <c r="M448" s="7" t="n">
        <v>2.30902522854513</v>
      </c>
      <c r="N448" s="7" t="n">
        <v>1.7333514326561</v>
      </c>
      <c r="O448" s="7" t="n">
        <v>1.91421332759732</v>
      </c>
      <c r="P448" s="7" t="n">
        <v>1.9872782431402</v>
      </c>
      <c r="Q448" s="7" t="n">
        <v>3.84618371277422</v>
      </c>
      <c r="R448" s="7" t="n">
        <v>1.62987698714534</v>
      </c>
      <c r="S448" s="7" t="n">
        <v>1.46704096294691</v>
      </c>
      <c r="T448" s="7" t="n">
        <v>1.38906413820524</v>
      </c>
      <c r="U448" s="7" t="n">
        <v>4.23299834877745</v>
      </c>
      <c r="V448" s="7" t="n">
        <v>4.25716874442982</v>
      </c>
      <c r="W448" s="7" t="n">
        <v>5.5239259788137</v>
      </c>
      <c r="X448" s="7" t="n">
        <v>2.64961039896755</v>
      </c>
      <c r="Y448" s="7" t="n">
        <v>2.13911469925239</v>
      </c>
      <c r="Z448" s="7" t="n">
        <v>0.564841528744027</v>
      </c>
      <c r="AA448" s="7" t="n">
        <v>2.06869126865066</v>
      </c>
      <c r="AB448" s="7" t="n">
        <v>0.391361816892713</v>
      </c>
    </row>
    <row r="449" customFormat="false" ht="15" hidden="false" customHeight="false" outlineLevel="0" collapsed="false">
      <c r="A449" s="4" t="s">
        <v>387</v>
      </c>
      <c r="B449" s="4" t="s">
        <v>388</v>
      </c>
      <c r="C449" s="4" t="s">
        <v>101</v>
      </c>
      <c r="D449" s="4" t="s">
        <v>75</v>
      </c>
      <c r="E449" s="4" t="s">
        <v>91</v>
      </c>
      <c r="F449" s="7" t="n">
        <v>139.336203833229</v>
      </c>
      <c r="G449" s="7" t="n">
        <v>93.2446286477178</v>
      </c>
      <c r="H449" s="7" t="n">
        <v>3.99758856811523</v>
      </c>
      <c r="I449" s="7" t="n">
        <v>11.1494134964049</v>
      </c>
      <c r="J449" s="7" t="n">
        <v>19.5381341066627</v>
      </c>
      <c r="K449" s="7" t="n">
        <v>35.664529798086</v>
      </c>
      <c r="L449" s="7" t="n">
        <v>93.6470974832939</v>
      </c>
      <c r="M449" s="7" t="n">
        <v>6.22806720581055</v>
      </c>
      <c r="N449" s="7" t="n">
        <v>22.0685869384766</v>
      </c>
      <c r="O449" s="7" t="n">
        <v>16.4345865342803</v>
      </c>
      <c r="P449" s="7" t="n">
        <v>109.605346033706</v>
      </c>
      <c r="Q449" s="7" t="n">
        <v>160.010027662237</v>
      </c>
      <c r="R449" s="7" t="n">
        <v>92.0909964434717</v>
      </c>
      <c r="S449" s="7" t="n">
        <v>74.687088638221</v>
      </c>
      <c r="T449" s="7" t="n">
        <v>28.7109568315286</v>
      </c>
      <c r="U449" s="7" t="n">
        <v>38.6094968934204</v>
      </c>
      <c r="V449" s="7" t="n">
        <v>104.092134356583</v>
      </c>
      <c r="W449" s="7" t="n">
        <v>22.9944969489755</v>
      </c>
      <c r="X449" s="7" t="n">
        <v>62.9481509062725</v>
      </c>
      <c r="Y449" s="7" t="n">
        <v>26.7526840138941</v>
      </c>
      <c r="Z449" s="7" t="n">
        <v>23.1428553433664</v>
      </c>
      <c r="AA449" s="7" t="n">
        <v>18.1494425551933</v>
      </c>
      <c r="AB449" s="7" t="n">
        <v>28.6127793336845</v>
      </c>
    </row>
    <row r="450" customFormat="false" ht="15" hidden="false" customHeight="false" outlineLevel="0" collapsed="false">
      <c r="A450" s="4" t="s">
        <v>387</v>
      </c>
      <c r="B450" s="4" t="s">
        <v>388</v>
      </c>
      <c r="C450" s="4" t="s">
        <v>101</v>
      </c>
      <c r="D450" s="4" t="s">
        <v>75</v>
      </c>
      <c r="E450" s="4" t="s">
        <v>92</v>
      </c>
      <c r="F450" s="7" t="n">
        <v>151.50045164275</v>
      </c>
      <c r="G450" s="7" t="n">
        <v>110.833616468656</v>
      </c>
      <c r="H450" s="7" t="n">
        <v>96.4589078979492</v>
      </c>
      <c r="I450" s="7" t="n">
        <v>146.697763971929</v>
      </c>
      <c r="J450" s="7" t="n">
        <v>161.36718136575</v>
      </c>
      <c r="K450" s="7" t="n">
        <v>38.4781787773535</v>
      </c>
      <c r="L450" s="7" t="n">
        <v>66.9594863914811</v>
      </c>
      <c r="M450" s="7" t="n">
        <v>120.89236874866</v>
      </c>
      <c r="N450" s="7" t="n">
        <v>162.605108105469</v>
      </c>
      <c r="O450" s="7" t="n">
        <v>69.3994769300752</v>
      </c>
      <c r="P450" s="7" t="n">
        <v>16.7567500942238</v>
      </c>
      <c r="Q450" s="7" t="n">
        <v>15.0249657215517</v>
      </c>
      <c r="R450" s="7" t="n">
        <v>130.037721198968</v>
      </c>
      <c r="S450" s="7" t="n">
        <v>39.7421085724723</v>
      </c>
      <c r="T450" s="7" t="n">
        <v>6.59092419874486</v>
      </c>
      <c r="U450" s="7" t="n">
        <v>15.8413194750357</v>
      </c>
      <c r="V450" s="7" t="n">
        <v>39.643583464414</v>
      </c>
      <c r="W450" s="7" t="n">
        <v>6.22785862963776</v>
      </c>
      <c r="X450" s="7" t="n">
        <v>66.8921667398289</v>
      </c>
      <c r="Y450" s="7" t="n">
        <v>87.468597810339</v>
      </c>
      <c r="Z450" s="7" t="n">
        <v>82.9955338473074</v>
      </c>
      <c r="AA450" s="7" t="n">
        <v>65.6132865829903</v>
      </c>
      <c r="AB450" s="7" t="n">
        <v>100.379306268122</v>
      </c>
    </row>
    <row r="451" customFormat="false" ht="15" hidden="false" customHeight="false" outlineLevel="0" collapsed="false">
      <c r="A451" s="4" t="s">
        <v>387</v>
      </c>
      <c r="B451" s="4" t="s">
        <v>388</v>
      </c>
      <c r="C451" s="4" t="s">
        <v>101</v>
      </c>
      <c r="D451" s="4" t="s">
        <v>75</v>
      </c>
      <c r="E451" s="4" t="s">
        <v>93</v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0</v>
      </c>
      <c r="O451" s="7" t="n">
        <v>0</v>
      </c>
      <c r="P451" s="7" t="n">
        <v>0</v>
      </c>
      <c r="Q451" s="7" t="n">
        <v>0</v>
      </c>
      <c r="R451" s="7" t="n">
        <v>0</v>
      </c>
      <c r="S451" s="7" t="n">
        <v>0</v>
      </c>
      <c r="T451" s="7" t="n">
        <v>0</v>
      </c>
      <c r="U451" s="7" t="n">
        <v>0</v>
      </c>
      <c r="V451" s="7" t="n">
        <v>0</v>
      </c>
      <c r="W451" s="7" t="n">
        <v>0</v>
      </c>
      <c r="X451" s="7" t="n">
        <v>0</v>
      </c>
      <c r="Y451" s="7" t="n">
        <v>0</v>
      </c>
      <c r="Z451" s="7" t="n">
        <v>0</v>
      </c>
      <c r="AA451" s="7" t="n">
        <v>0</v>
      </c>
      <c r="AB451" s="7" t="n">
        <v>0</v>
      </c>
    </row>
    <row r="452" customFormat="false" ht="15" hidden="false" customHeight="false" outlineLevel="0" collapsed="false">
      <c r="A452" s="4" t="s">
        <v>389</v>
      </c>
      <c r="B452" s="4" t="s">
        <v>390</v>
      </c>
      <c r="C452" s="4" t="s">
        <v>104</v>
      </c>
      <c r="D452" s="4" t="s">
        <v>43</v>
      </c>
      <c r="E452" s="4" t="s">
        <v>91</v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134.021351837599</v>
      </c>
      <c r="L452" s="7" t="n">
        <v>110.738106040675</v>
      </c>
      <c r="M452" s="7" t="n">
        <v>21.8493021157897</v>
      </c>
      <c r="N452" s="7" t="n">
        <v>23.260325012207</v>
      </c>
      <c r="O452" s="7" t="n">
        <v>12.3270615844727</v>
      </c>
      <c r="P452" s="7" t="n">
        <v>22.5329416831821</v>
      </c>
      <c r="Q452" s="7" t="n">
        <v>285.385850581098</v>
      </c>
      <c r="R452" s="7" t="n">
        <v>175.658868433</v>
      </c>
      <c r="S452" s="7" t="n">
        <v>339.65271486723</v>
      </c>
      <c r="T452" s="7" t="n">
        <v>191.89067952697</v>
      </c>
      <c r="U452" s="7" t="n">
        <v>244.342310095478</v>
      </c>
      <c r="V452" s="7" t="n">
        <v>330.732491223622</v>
      </c>
      <c r="W452" s="7" t="n">
        <v>332.642935386512</v>
      </c>
      <c r="X452" s="7" t="n">
        <v>167.255834550861</v>
      </c>
      <c r="Y452" s="7" t="n">
        <v>192.95481508117</v>
      </c>
      <c r="Z452" s="7" t="n">
        <v>111.759180650794</v>
      </c>
      <c r="AA452" s="7" t="n">
        <v>160.104190819687</v>
      </c>
      <c r="AB452" s="7" t="n">
        <v>233.479716117717</v>
      </c>
    </row>
    <row r="453" customFormat="false" ht="15" hidden="false" customHeight="false" outlineLevel="0" collapsed="false">
      <c r="A453" s="4" t="s">
        <v>389</v>
      </c>
      <c r="B453" s="4" t="s">
        <v>390</v>
      </c>
      <c r="C453" s="4" t="s">
        <v>104</v>
      </c>
      <c r="D453" s="4" t="s">
        <v>43</v>
      </c>
      <c r="E453" s="4" t="s">
        <v>92</v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0</v>
      </c>
      <c r="N453" s="7" t="n">
        <v>32.9949213289278</v>
      </c>
      <c r="O453" s="7" t="n">
        <v>104.40800386167</v>
      </c>
      <c r="P453" s="7" t="n">
        <v>110.910686014729</v>
      </c>
      <c r="Q453" s="7" t="n">
        <v>0</v>
      </c>
      <c r="R453" s="7" t="n">
        <v>0</v>
      </c>
      <c r="S453" s="7" t="n">
        <v>0</v>
      </c>
      <c r="T453" s="7" t="n">
        <v>0</v>
      </c>
      <c r="U453" s="7" t="n">
        <v>196.058976392258</v>
      </c>
      <c r="V453" s="7" t="n">
        <v>172.918851327768</v>
      </c>
      <c r="W453" s="7" t="n">
        <v>0</v>
      </c>
      <c r="X453" s="7" t="n">
        <v>0</v>
      </c>
      <c r="Y453" s="7" t="n">
        <v>0</v>
      </c>
      <c r="Z453" s="7" t="n">
        <v>0</v>
      </c>
      <c r="AA453" s="7" t="n">
        <v>0</v>
      </c>
      <c r="AB453" s="7" t="n">
        <v>0</v>
      </c>
    </row>
    <row r="454" customFormat="false" ht="15" hidden="false" customHeight="false" outlineLevel="0" collapsed="false">
      <c r="A454" s="4" t="s">
        <v>389</v>
      </c>
      <c r="B454" s="4" t="s">
        <v>390</v>
      </c>
      <c r="C454" s="4" t="s">
        <v>104</v>
      </c>
      <c r="D454" s="4" t="s">
        <v>43</v>
      </c>
      <c r="E454" s="4" t="s">
        <v>93</v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1254.21791103496</v>
      </c>
      <c r="L454" s="7" t="n">
        <v>1150.54382671905</v>
      </c>
      <c r="M454" s="7" t="n">
        <v>1580.66666666667</v>
      </c>
      <c r="N454" s="7" t="n">
        <v>1044.33333333333</v>
      </c>
      <c r="O454" s="7" t="n">
        <v>508.000000000001</v>
      </c>
      <c r="P454" s="7" t="n">
        <v>508</v>
      </c>
      <c r="Q454" s="7" t="n">
        <v>508</v>
      </c>
      <c r="R454" s="7" t="n">
        <v>0</v>
      </c>
      <c r="S454" s="7" t="n">
        <v>2688.65761846335</v>
      </c>
      <c r="T454" s="7" t="n">
        <v>1880.8731473678</v>
      </c>
      <c r="U454" s="7" t="n">
        <v>3065.73631583574</v>
      </c>
      <c r="V454" s="7" t="n">
        <v>273.333333333333</v>
      </c>
      <c r="W454" s="7" t="n">
        <v>271.111111111112</v>
      </c>
      <c r="X454" s="7" t="n">
        <v>271.481481481482</v>
      </c>
      <c r="Y454" s="7" t="n">
        <v>271.975308641976</v>
      </c>
      <c r="Z454" s="7" t="n">
        <v>271.296296296296</v>
      </c>
      <c r="AA454" s="7" t="n">
        <v>271.481481481482</v>
      </c>
      <c r="AB454" s="7" t="n">
        <v>271.584362139918</v>
      </c>
    </row>
    <row r="455" customFormat="false" ht="15" hidden="false" customHeight="false" outlineLevel="0" collapsed="false">
      <c r="A455" s="4" t="s">
        <v>391</v>
      </c>
      <c r="B455" s="4" t="s">
        <v>392</v>
      </c>
      <c r="C455" s="4" t="s">
        <v>104</v>
      </c>
      <c r="D455" s="4" t="s">
        <v>43</v>
      </c>
      <c r="E455" s="4" t="s">
        <v>91</v>
      </c>
      <c r="F455" s="7" t="n">
        <v>233.786331486523</v>
      </c>
      <c r="G455" s="7" t="n">
        <v>138.266984403647</v>
      </c>
      <c r="H455" s="7" t="n">
        <v>13.4469085411401</v>
      </c>
      <c r="I455" s="7" t="n">
        <v>14.4962394807943</v>
      </c>
      <c r="J455" s="7" t="n">
        <v>11.0314265135283</v>
      </c>
      <c r="K455" s="7" t="n">
        <v>0</v>
      </c>
      <c r="L455" s="7" t="n">
        <v>0</v>
      </c>
      <c r="M455" s="7" t="n">
        <v>0</v>
      </c>
      <c r="N455" s="7" t="n">
        <v>0</v>
      </c>
      <c r="O455" s="7" t="n">
        <v>0</v>
      </c>
      <c r="P455" s="7" t="n">
        <v>0</v>
      </c>
      <c r="Q455" s="7" t="n">
        <v>0</v>
      </c>
      <c r="R455" s="7" t="n">
        <v>0</v>
      </c>
      <c r="S455" s="7" t="n">
        <v>0</v>
      </c>
      <c r="T455" s="7" t="n">
        <v>0</v>
      </c>
      <c r="U455" s="7" t="n">
        <v>0</v>
      </c>
      <c r="V455" s="7" t="n">
        <v>0</v>
      </c>
      <c r="W455" s="7" t="n">
        <v>0</v>
      </c>
      <c r="X455" s="7" t="n">
        <v>0</v>
      </c>
      <c r="Y455" s="7" t="n">
        <v>0</v>
      </c>
      <c r="Z455" s="7" t="n">
        <v>0</v>
      </c>
      <c r="AA455" s="7" t="n">
        <v>0</v>
      </c>
      <c r="AB455" s="7" t="n">
        <v>0</v>
      </c>
    </row>
    <row r="456" customFormat="false" ht="15" hidden="false" customHeight="false" outlineLevel="0" collapsed="false">
      <c r="A456" s="4" t="s">
        <v>391</v>
      </c>
      <c r="B456" s="4" t="s">
        <v>392</v>
      </c>
      <c r="C456" s="4" t="s">
        <v>104</v>
      </c>
      <c r="D456" s="4" t="s">
        <v>43</v>
      </c>
      <c r="E456" s="4" t="s">
        <v>92</v>
      </c>
      <c r="F456" s="7" t="n">
        <v>126.247431606264</v>
      </c>
      <c r="G456" s="7" t="n">
        <v>0</v>
      </c>
      <c r="H456" s="7" t="n">
        <v>0</v>
      </c>
      <c r="I456" s="7" t="n">
        <v>0</v>
      </c>
      <c r="J456" s="7" t="n">
        <v>0</v>
      </c>
      <c r="K456" s="7" t="n">
        <v>0</v>
      </c>
      <c r="L456" s="7" t="n">
        <v>0</v>
      </c>
      <c r="M456" s="7" t="n">
        <v>0</v>
      </c>
      <c r="N456" s="7" t="n">
        <v>0</v>
      </c>
      <c r="O456" s="7" t="n">
        <v>0</v>
      </c>
      <c r="P456" s="7" t="n">
        <v>0</v>
      </c>
      <c r="Q456" s="7" t="n">
        <v>0</v>
      </c>
      <c r="R456" s="7" t="n">
        <v>0</v>
      </c>
      <c r="S456" s="7" t="n">
        <v>0</v>
      </c>
      <c r="T456" s="7" t="n">
        <v>0</v>
      </c>
      <c r="U456" s="7" t="n">
        <v>0</v>
      </c>
      <c r="V456" s="7" t="n">
        <v>0</v>
      </c>
      <c r="W456" s="7" t="n">
        <v>0</v>
      </c>
      <c r="X456" s="7" t="n">
        <v>0</v>
      </c>
      <c r="Y456" s="7" t="n">
        <v>0</v>
      </c>
      <c r="Z456" s="7" t="n">
        <v>0</v>
      </c>
      <c r="AA456" s="7" t="n">
        <v>0</v>
      </c>
      <c r="AB456" s="7" t="n">
        <v>0</v>
      </c>
    </row>
    <row r="457" customFormat="false" ht="15" hidden="false" customHeight="false" outlineLevel="0" collapsed="false">
      <c r="A457" s="4" t="s">
        <v>391</v>
      </c>
      <c r="B457" s="4" t="s">
        <v>392</v>
      </c>
      <c r="C457" s="4" t="s">
        <v>104</v>
      </c>
      <c r="D457" s="4" t="s">
        <v>43</v>
      </c>
      <c r="E457" s="4" t="s">
        <v>93</v>
      </c>
      <c r="F457" s="7" t="n">
        <v>1880.43550232745</v>
      </c>
      <c r="G457" s="7" t="n">
        <v>726.177048526424</v>
      </c>
      <c r="H457" s="7" t="n">
        <v>709.667052935217</v>
      </c>
      <c r="I457" s="7" t="n">
        <v>2117</v>
      </c>
      <c r="J457" s="7" t="n">
        <v>1182.1858163288</v>
      </c>
      <c r="K457" s="7" t="n">
        <v>0</v>
      </c>
      <c r="L457" s="7" t="n">
        <v>0</v>
      </c>
      <c r="M457" s="7" t="n">
        <v>0</v>
      </c>
      <c r="N457" s="7" t="n">
        <v>0</v>
      </c>
      <c r="O457" s="7" t="n">
        <v>0</v>
      </c>
      <c r="P457" s="7" t="n">
        <v>0</v>
      </c>
      <c r="Q457" s="7" t="n">
        <v>0</v>
      </c>
      <c r="R457" s="7" t="n">
        <v>0</v>
      </c>
      <c r="S457" s="7" t="n">
        <v>0</v>
      </c>
      <c r="T457" s="7" t="n">
        <v>0</v>
      </c>
      <c r="U457" s="7" t="n">
        <v>0</v>
      </c>
      <c r="V457" s="7" t="n">
        <v>0</v>
      </c>
      <c r="W457" s="7" t="n">
        <v>0</v>
      </c>
      <c r="X457" s="7" t="n">
        <v>0</v>
      </c>
      <c r="Y457" s="7" t="n">
        <v>0</v>
      </c>
      <c r="Z457" s="7" t="n">
        <v>0</v>
      </c>
      <c r="AA457" s="7" t="n">
        <v>0</v>
      </c>
      <c r="AB457" s="7" t="n">
        <v>0</v>
      </c>
    </row>
    <row r="458" customFormat="false" ht="15" hidden="false" customHeight="false" outlineLevel="0" collapsed="false">
      <c r="A458" s="4" t="s">
        <v>393</v>
      </c>
      <c r="B458" s="4" t="s">
        <v>394</v>
      </c>
      <c r="C458" s="4" t="s">
        <v>101</v>
      </c>
      <c r="D458" s="4" t="s">
        <v>75</v>
      </c>
      <c r="E458" s="4" t="s">
        <v>91</v>
      </c>
      <c r="F458" s="7" t="n">
        <v>0</v>
      </c>
      <c r="G458" s="7" t="n">
        <v>0</v>
      </c>
      <c r="H458" s="7" t="n">
        <v>0</v>
      </c>
      <c r="I458" s="7" t="n">
        <v>0</v>
      </c>
      <c r="J458" s="7" t="n">
        <v>0</v>
      </c>
      <c r="K458" s="7" t="n">
        <v>0</v>
      </c>
      <c r="L458" s="7" t="n">
        <v>0</v>
      </c>
      <c r="M458" s="7" t="n">
        <v>0</v>
      </c>
      <c r="N458" s="7" t="n">
        <v>0</v>
      </c>
      <c r="O458" s="7" t="n">
        <v>0</v>
      </c>
      <c r="P458" s="7" t="n">
        <v>0</v>
      </c>
      <c r="Q458" s="7" t="n">
        <v>375.411043659309</v>
      </c>
      <c r="R458" s="7" t="n">
        <v>328.016160649366</v>
      </c>
      <c r="S458" s="7" t="n">
        <v>293.686738992537</v>
      </c>
      <c r="T458" s="7" t="n">
        <v>75.8646570617676</v>
      </c>
      <c r="U458" s="7" t="n">
        <v>111.139881838044</v>
      </c>
      <c r="V458" s="7" t="n">
        <v>46.460483942919</v>
      </c>
      <c r="W458" s="7" t="n">
        <v>482.876735038952</v>
      </c>
      <c r="X458" s="7" t="n">
        <v>498.17220385099</v>
      </c>
      <c r="Y458" s="7" t="n">
        <v>820.835026169267</v>
      </c>
      <c r="Z458" s="7" t="n">
        <v>1000.67373362867</v>
      </c>
      <c r="AA458" s="7" t="n">
        <v>1699.96232317878</v>
      </c>
      <c r="AB458" s="7" t="n">
        <v>3211.48258066532</v>
      </c>
    </row>
    <row r="459" customFormat="false" ht="15" hidden="false" customHeight="false" outlineLevel="0" collapsed="false">
      <c r="A459" s="4" t="s">
        <v>393</v>
      </c>
      <c r="B459" s="4" t="s">
        <v>394</v>
      </c>
      <c r="C459" s="4" t="s">
        <v>101</v>
      </c>
      <c r="D459" s="4" t="s">
        <v>75</v>
      </c>
      <c r="E459" s="4" t="s">
        <v>92</v>
      </c>
      <c r="F459" s="7" t="n">
        <v>0</v>
      </c>
      <c r="G459" s="7" t="n">
        <v>0</v>
      </c>
      <c r="H459" s="7" t="n">
        <v>0</v>
      </c>
      <c r="I459" s="7" t="n">
        <v>0</v>
      </c>
      <c r="J459" s="7" t="n">
        <v>0</v>
      </c>
      <c r="K459" s="7" t="n">
        <v>0</v>
      </c>
      <c r="L459" s="7" t="n">
        <v>0</v>
      </c>
      <c r="M459" s="7" t="n">
        <v>0</v>
      </c>
      <c r="N459" s="7" t="n">
        <v>0</v>
      </c>
      <c r="O459" s="7" t="n">
        <v>0</v>
      </c>
      <c r="P459" s="7" t="n">
        <v>0</v>
      </c>
      <c r="Q459" s="7" t="n">
        <v>3633.71591587053</v>
      </c>
      <c r="R459" s="7" t="n">
        <v>2583.67688963259</v>
      </c>
      <c r="S459" s="7" t="n">
        <v>2443.47440267442</v>
      </c>
      <c r="T459" s="7" t="n">
        <v>569.359225746759</v>
      </c>
      <c r="U459" s="7" t="n">
        <v>1346.04311631934</v>
      </c>
      <c r="V459" s="7" t="n">
        <v>2675.99114356785</v>
      </c>
      <c r="W459" s="7" t="n">
        <v>1012.25306811111</v>
      </c>
      <c r="X459" s="7" t="n">
        <v>1232.46557621129</v>
      </c>
      <c r="Y459" s="7" t="n">
        <v>380.022120170658</v>
      </c>
      <c r="Z459" s="7" t="n">
        <v>442.938163324524</v>
      </c>
      <c r="AA459" s="7" t="n">
        <v>308.795544057025</v>
      </c>
      <c r="AB459" s="7" t="n">
        <v>1009.36063262129</v>
      </c>
    </row>
    <row r="460" customFormat="false" ht="15" hidden="false" customHeight="false" outlineLevel="0" collapsed="false">
      <c r="A460" s="4" t="s">
        <v>393</v>
      </c>
      <c r="B460" s="4" t="s">
        <v>394</v>
      </c>
      <c r="C460" s="4" t="s">
        <v>101</v>
      </c>
      <c r="D460" s="4" t="s">
        <v>75</v>
      </c>
      <c r="E460" s="4" t="s">
        <v>93</v>
      </c>
      <c r="F460" s="7" t="n">
        <v>0</v>
      </c>
      <c r="G460" s="7" t="n">
        <v>0</v>
      </c>
      <c r="H460" s="7" t="n">
        <v>0</v>
      </c>
      <c r="I460" s="7" t="n">
        <v>0</v>
      </c>
      <c r="J460" s="7" t="n">
        <v>0</v>
      </c>
      <c r="K460" s="7" t="n">
        <v>0</v>
      </c>
      <c r="L460" s="7" t="n">
        <v>0</v>
      </c>
      <c r="M460" s="7" t="n">
        <v>0</v>
      </c>
      <c r="N460" s="7" t="n">
        <v>0</v>
      </c>
      <c r="O460" s="7" t="n">
        <v>0</v>
      </c>
      <c r="P460" s="7" t="n">
        <v>0</v>
      </c>
      <c r="Q460" s="7" t="n">
        <v>0</v>
      </c>
      <c r="R460" s="7" t="n">
        <v>0</v>
      </c>
      <c r="S460" s="7" t="n">
        <v>0</v>
      </c>
      <c r="T460" s="7" t="n">
        <v>0</v>
      </c>
      <c r="U460" s="7" t="n">
        <v>0</v>
      </c>
      <c r="V460" s="7" t="n">
        <v>0</v>
      </c>
      <c r="W460" s="7" t="n">
        <v>0</v>
      </c>
      <c r="X460" s="7" t="n">
        <v>0</v>
      </c>
      <c r="Y460" s="7" t="n">
        <v>0</v>
      </c>
      <c r="Z460" s="7" t="n">
        <v>0</v>
      </c>
      <c r="AA460" s="7" t="n">
        <v>0</v>
      </c>
      <c r="AB460" s="7" t="n">
        <v>0</v>
      </c>
    </row>
    <row r="461" customFormat="false" ht="15" hidden="false" customHeight="false" outlineLevel="0" collapsed="false">
      <c r="A461" s="4" t="s">
        <v>395</v>
      </c>
      <c r="B461" s="4" t="s">
        <v>396</v>
      </c>
      <c r="C461" s="4" t="s">
        <v>101</v>
      </c>
      <c r="D461" s="4" t="s">
        <v>59</v>
      </c>
      <c r="E461" s="4" t="s">
        <v>91</v>
      </c>
      <c r="F461" s="7" t="n">
        <v>6.61337813720703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  <c r="M461" s="7" t="n">
        <v>0</v>
      </c>
      <c r="N461" s="7" t="n">
        <v>0</v>
      </c>
      <c r="O461" s="7" t="n">
        <v>0</v>
      </c>
      <c r="P461" s="7" t="n">
        <v>0</v>
      </c>
      <c r="Q461" s="7" t="n">
        <v>0</v>
      </c>
      <c r="R461" s="7" t="n">
        <v>0</v>
      </c>
      <c r="S461" s="7" t="n">
        <v>0</v>
      </c>
      <c r="T461" s="7" t="n">
        <v>0</v>
      </c>
      <c r="U461" s="7" t="n">
        <v>0</v>
      </c>
      <c r="V461" s="7" t="n">
        <v>0</v>
      </c>
      <c r="W461" s="7" t="n">
        <v>0</v>
      </c>
      <c r="X461" s="7" t="n">
        <v>0</v>
      </c>
      <c r="Y461" s="7" t="n">
        <v>0</v>
      </c>
      <c r="Z461" s="7" t="n">
        <v>0</v>
      </c>
      <c r="AA461" s="7" t="n">
        <v>0</v>
      </c>
      <c r="AB461" s="7" t="n">
        <v>0</v>
      </c>
    </row>
    <row r="462" customFormat="false" ht="15" hidden="false" customHeight="false" outlineLevel="0" collapsed="false">
      <c r="A462" s="4" t="s">
        <v>395</v>
      </c>
      <c r="B462" s="4" t="s">
        <v>396</v>
      </c>
      <c r="C462" s="4" t="s">
        <v>101</v>
      </c>
      <c r="D462" s="4" t="s">
        <v>59</v>
      </c>
      <c r="E462" s="4" t="s">
        <v>92</v>
      </c>
      <c r="F462" s="7" t="n">
        <v>12.6911370422363</v>
      </c>
      <c r="G462" s="7" t="n">
        <v>0</v>
      </c>
      <c r="H462" s="7" t="n">
        <v>0</v>
      </c>
      <c r="I462" s="7" t="n">
        <v>0</v>
      </c>
      <c r="J462" s="7" t="n">
        <v>0</v>
      </c>
      <c r="K462" s="7" t="n">
        <v>0</v>
      </c>
      <c r="L462" s="7" t="n">
        <v>0</v>
      </c>
      <c r="M462" s="7" t="n">
        <v>0</v>
      </c>
      <c r="N462" s="7" t="n">
        <v>0</v>
      </c>
      <c r="O462" s="7" t="n">
        <v>0</v>
      </c>
      <c r="P462" s="7" t="n">
        <v>0</v>
      </c>
      <c r="Q462" s="7" t="n">
        <v>0</v>
      </c>
      <c r="R462" s="7" t="n">
        <v>0</v>
      </c>
      <c r="S462" s="7" t="n">
        <v>0</v>
      </c>
      <c r="T462" s="7" t="n">
        <v>0</v>
      </c>
      <c r="U462" s="7" t="n">
        <v>0</v>
      </c>
      <c r="V462" s="7" t="n">
        <v>0</v>
      </c>
      <c r="W462" s="7" t="n">
        <v>0</v>
      </c>
      <c r="X462" s="7" t="n">
        <v>0</v>
      </c>
      <c r="Y462" s="7" t="n">
        <v>0</v>
      </c>
      <c r="Z462" s="7" t="n">
        <v>0</v>
      </c>
      <c r="AA462" s="7" t="n">
        <v>0</v>
      </c>
      <c r="AB462" s="7" t="n">
        <v>0</v>
      </c>
    </row>
    <row r="463" customFormat="false" ht="15" hidden="false" customHeight="false" outlineLevel="0" collapsed="false">
      <c r="A463" s="4" t="s">
        <v>395</v>
      </c>
      <c r="B463" s="4" t="s">
        <v>396</v>
      </c>
      <c r="C463" s="4" t="s">
        <v>101</v>
      </c>
      <c r="D463" s="4" t="s">
        <v>59</v>
      </c>
      <c r="E463" s="4" t="s">
        <v>93</v>
      </c>
      <c r="F463" s="7" t="n">
        <v>0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0</v>
      </c>
      <c r="M463" s="7" t="n">
        <v>0</v>
      </c>
      <c r="N463" s="7" t="n">
        <v>0</v>
      </c>
      <c r="O463" s="7" t="n">
        <v>0</v>
      </c>
      <c r="P463" s="7" t="n">
        <v>0</v>
      </c>
      <c r="Q463" s="7" t="n">
        <v>0</v>
      </c>
      <c r="R463" s="7" t="n">
        <v>0</v>
      </c>
      <c r="S463" s="7" t="n">
        <v>0</v>
      </c>
      <c r="T463" s="7" t="n">
        <v>0</v>
      </c>
      <c r="U463" s="7" t="n">
        <v>0</v>
      </c>
      <c r="V463" s="7" t="n">
        <v>0</v>
      </c>
      <c r="W463" s="7" t="n">
        <v>0</v>
      </c>
      <c r="X463" s="7" t="n">
        <v>0</v>
      </c>
      <c r="Y463" s="7" t="n">
        <v>0</v>
      </c>
      <c r="Z463" s="7" t="n">
        <v>0</v>
      </c>
      <c r="AA463" s="7" t="n">
        <v>0</v>
      </c>
      <c r="AB463" s="7" t="n">
        <v>0</v>
      </c>
    </row>
    <row r="464" customFormat="false" ht="15" hidden="false" customHeight="false" outlineLevel="0" collapsed="false">
      <c r="A464" s="4" t="s">
        <v>397</v>
      </c>
      <c r="B464" s="4" t="s">
        <v>398</v>
      </c>
      <c r="C464" s="4" t="s">
        <v>107</v>
      </c>
      <c r="D464" s="4" t="s">
        <v>79</v>
      </c>
      <c r="E464" s="4" t="s">
        <v>91</v>
      </c>
      <c r="F464" s="7" t="n">
        <v>0.535891784667969</v>
      </c>
      <c r="G464" s="7" t="n">
        <v>172.028345811472</v>
      </c>
      <c r="H464" s="7" t="n">
        <v>2.37259365377987</v>
      </c>
      <c r="I464" s="7" t="n">
        <v>0.612277020263672</v>
      </c>
      <c r="J464" s="7" t="n">
        <v>14.0854466918945</v>
      </c>
      <c r="K464" s="7" t="n">
        <v>489.102065647882</v>
      </c>
      <c r="L464" s="7" t="n">
        <v>439.818787406892</v>
      </c>
      <c r="M464" s="7" t="n">
        <v>782.294595240335</v>
      </c>
      <c r="N464" s="7" t="n">
        <v>0.688837823486328</v>
      </c>
      <c r="O464" s="7" t="n">
        <v>697.901966055382</v>
      </c>
      <c r="P464" s="7" t="n">
        <v>601.24905539175</v>
      </c>
      <c r="Q464" s="7" t="n">
        <v>2174.34812712522</v>
      </c>
      <c r="R464" s="7" t="n">
        <v>1180.12260703546</v>
      </c>
      <c r="S464" s="7" t="n">
        <v>26.0988816040039</v>
      </c>
      <c r="T464" s="7" t="n">
        <v>32.7585400878906</v>
      </c>
      <c r="U464" s="7" t="n">
        <v>42.1744089922976</v>
      </c>
      <c r="V464" s="7" t="n">
        <v>23.1894590327244</v>
      </c>
      <c r="W464" s="7" t="n">
        <v>17.6049958251953</v>
      </c>
      <c r="X464" s="7" t="n">
        <v>29.2388399536133</v>
      </c>
      <c r="Y464" s="7" t="n">
        <v>9.10840714111328</v>
      </c>
      <c r="Z464" s="7" t="n">
        <v>0.0765318603515625</v>
      </c>
      <c r="AA464" s="7" t="n">
        <v>195.455307622108</v>
      </c>
      <c r="AB464" s="7" t="n">
        <v>863.555555555556</v>
      </c>
    </row>
    <row r="465" customFormat="false" ht="15" hidden="false" customHeight="false" outlineLevel="0" collapsed="false">
      <c r="A465" s="4" t="s">
        <v>397</v>
      </c>
      <c r="B465" s="4" t="s">
        <v>398</v>
      </c>
      <c r="C465" s="4" t="s">
        <v>107</v>
      </c>
      <c r="D465" s="4" t="s">
        <v>79</v>
      </c>
      <c r="E465" s="4" t="s">
        <v>92</v>
      </c>
      <c r="F465" s="7" t="n">
        <v>0</v>
      </c>
      <c r="G465" s="7" t="n">
        <v>266.939444503972</v>
      </c>
      <c r="H465" s="7" t="n">
        <v>916.758593499517</v>
      </c>
      <c r="I465" s="7" t="n">
        <v>649.976594713852</v>
      </c>
      <c r="J465" s="7" t="n">
        <v>654.775696999633</v>
      </c>
      <c r="K465" s="7" t="n">
        <v>0</v>
      </c>
      <c r="L465" s="7" t="n">
        <v>0</v>
      </c>
      <c r="M465" s="7" t="n">
        <v>0</v>
      </c>
      <c r="N465" s="7" t="n">
        <v>0</v>
      </c>
      <c r="O465" s="7" t="n">
        <v>0</v>
      </c>
      <c r="P465" s="7" t="n">
        <v>0</v>
      </c>
      <c r="Q465" s="7" t="n">
        <v>0</v>
      </c>
      <c r="R465" s="7" t="n">
        <v>0</v>
      </c>
      <c r="S465" s="7" t="n">
        <v>0</v>
      </c>
      <c r="T465" s="7" t="n">
        <v>1481.85858229215</v>
      </c>
      <c r="U465" s="7" t="n">
        <v>2568.95709449704</v>
      </c>
      <c r="V465" s="7" t="n">
        <v>1328.53710843748</v>
      </c>
      <c r="W465" s="7" t="n">
        <v>1178.34845560432</v>
      </c>
      <c r="X465" s="7" t="n">
        <v>2331.37346001597</v>
      </c>
      <c r="Y465" s="7" t="n">
        <v>1530.02723746348</v>
      </c>
      <c r="Z465" s="7" t="n">
        <v>202.061029126982</v>
      </c>
      <c r="AA465" s="7" t="n">
        <v>23.1566329914028</v>
      </c>
      <c r="AB465" s="7" t="n">
        <v>437.051328806656</v>
      </c>
    </row>
    <row r="466" customFormat="false" ht="15" hidden="false" customHeight="false" outlineLevel="0" collapsed="false">
      <c r="A466" s="4" t="s">
        <v>397</v>
      </c>
      <c r="B466" s="4" t="s">
        <v>398</v>
      </c>
      <c r="C466" s="4" t="s">
        <v>107</v>
      </c>
      <c r="D466" s="4" t="s">
        <v>79</v>
      </c>
      <c r="E466" s="4" t="s">
        <v>93</v>
      </c>
      <c r="F466" s="7" t="n">
        <v>0</v>
      </c>
      <c r="G466" s="7" t="n">
        <v>0</v>
      </c>
      <c r="H466" s="7" t="n">
        <v>0</v>
      </c>
      <c r="I466" s="7" t="n">
        <v>0</v>
      </c>
      <c r="J466" s="7" t="n">
        <v>0</v>
      </c>
      <c r="K466" s="7" t="n">
        <v>0</v>
      </c>
      <c r="L466" s="7" t="n">
        <v>0</v>
      </c>
      <c r="M466" s="7" t="n">
        <v>0</v>
      </c>
      <c r="N466" s="7" t="n">
        <v>0</v>
      </c>
      <c r="O466" s="7" t="n">
        <v>0</v>
      </c>
      <c r="P466" s="7" t="n">
        <v>0</v>
      </c>
      <c r="Q466" s="7" t="n">
        <v>0</v>
      </c>
      <c r="R466" s="7" t="n">
        <v>0</v>
      </c>
      <c r="S466" s="7" t="n">
        <v>0</v>
      </c>
      <c r="T466" s="7" t="n">
        <v>0</v>
      </c>
      <c r="U466" s="7" t="n">
        <v>0</v>
      </c>
      <c r="V466" s="7" t="n">
        <v>0</v>
      </c>
      <c r="W466" s="7" t="n">
        <v>0</v>
      </c>
      <c r="X466" s="7" t="n">
        <v>0</v>
      </c>
      <c r="Y466" s="7" t="n">
        <v>0</v>
      </c>
      <c r="Z466" s="7" t="n">
        <v>0</v>
      </c>
      <c r="AA466" s="7" t="n">
        <v>0</v>
      </c>
      <c r="AB466" s="7" t="n">
        <v>0</v>
      </c>
    </row>
    <row r="467" customFormat="false" ht="15" hidden="false" customHeight="false" outlineLevel="0" collapsed="false">
      <c r="A467" s="4" t="s">
        <v>399</v>
      </c>
      <c r="B467" s="4" t="s">
        <v>400</v>
      </c>
      <c r="C467" s="4" t="s">
        <v>104</v>
      </c>
      <c r="D467" s="4" t="s">
        <v>41</v>
      </c>
      <c r="E467" s="4" t="s">
        <v>91</v>
      </c>
      <c r="F467" s="7" t="n">
        <v>117.963080105627</v>
      </c>
      <c r="G467" s="7" t="n">
        <v>136.903947572833</v>
      </c>
      <c r="H467" s="7" t="n">
        <v>51.3834223926123</v>
      </c>
      <c r="I467" s="7" t="n">
        <v>19.1260438751221</v>
      </c>
      <c r="J467" s="7" t="n">
        <v>34.2159520552691</v>
      </c>
      <c r="K467" s="7" t="n">
        <v>59.8337680481409</v>
      </c>
      <c r="L467" s="7" t="n">
        <v>102.242250301921</v>
      </c>
      <c r="M467" s="7" t="n">
        <v>129.377348499516</v>
      </c>
      <c r="N467" s="7" t="n">
        <v>103.572675044396</v>
      </c>
      <c r="O467" s="7" t="n">
        <v>37.8763048340442</v>
      </c>
      <c r="P467" s="7" t="n">
        <v>36.1483002288818</v>
      </c>
      <c r="Q467" s="7" t="n">
        <v>57.6423115875244</v>
      </c>
      <c r="R467" s="7" t="n">
        <v>13.3928313476563</v>
      </c>
      <c r="S467" s="7" t="n">
        <v>41.2196104156494</v>
      </c>
      <c r="T467" s="7" t="n">
        <v>53.8050748901367</v>
      </c>
      <c r="U467" s="7" t="n">
        <v>219.653800134828</v>
      </c>
      <c r="V467" s="7" t="n">
        <v>185.633147666235</v>
      </c>
      <c r="W467" s="7" t="n">
        <v>100.563971113281</v>
      </c>
      <c r="X467" s="7" t="n">
        <v>23.3523307037353</v>
      </c>
      <c r="Y467" s="7" t="n">
        <v>0</v>
      </c>
      <c r="Z467" s="7" t="n">
        <v>0</v>
      </c>
      <c r="AA467" s="7" t="n">
        <v>0</v>
      </c>
      <c r="AB467" s="7" t="n">
        <v>0</v>
      </c>
    </row>
    <row r="468" customFormat="false" ht="15" hidden="false" customHeight="false" outlineLevel="0" collapsed="false">
      <c r="A468" s="4" t="s">
        <v>399</v>
      </c>
      <c r="B468" s="4" t="s">
        <v>400</v>
      </c>
      <c r="C468" s="4" t="s">
        <v>104</v>
      </c>
      <c r="D468" s="4" t="s">
        <v>41</v>
      </c>
      <c r="E468" s="4" t="s">
        <v>92</v>
      </c>
      <c r="F468" s="7" t="n">
        <v>0</v>
      </c>
      <c r="G468" s="7" t="n">
        <v>0</v>
      </c>
      <c r="H468" s="7" t="n">
        <v>0</v>
      </c>
      <c r="I468" s="7" t="n">
        <v>52.6586582977627</v>
      </c>
      <c r="J468" s="7" t="n">
        <v>112.702207363368</v>
      </c>
      <c r="K468" s="7" t="n">
        <v>0</v>
      </c>
      <c r="L468" s="7" t="n">
        <v>0.637223614381058</v>
      </c>
      <c r="M468" s="7" t="n">
        <v>0</v>
      </c>
      <c r="N468" s="7" t="n">
        <v>0</v>
      </c>
      <c r="O468" s="7" t="n">
        <v>0</v>
      </c>
      <c r="P468" s="7" t="n">
        <v>0</v>
      </c>
      <c r="Q468" s="7" t="n">
        <v>90.808561728372</v>
      </c>
      <c r="R468" s="7" t="n">
        <v>93.9913141781317</v>
      </c>
      <c r="S468" s="7" t="n">
        <v>153.020039378818</v>
      </c>
      <c r="T468" s="7" t="n">
        <v>103.836896172473</v>
      </c>
      <c r="U468" s="7" t="n">
        <v>0</v>
      </c>
      <c r="V468" s="7" t="n">
        <v>55.786232246114</v>
      </c>
      <c r="W468" s="7" t="n">
        <v>0</v>
      </c>
      <c r="X468" s="7" t="n">
        <v>0</v>
      </c>
      <c r="Y468" s="7" t="n">
        <v>0</v>
      </c>
      <c r="Z468" s="7" t="n">
        <v>0</v>
      </c>
      <c r="AA468" s="7" t="n">
        <v>0</v>
      </c>
      <c r="AB468" s="7" t="n">
        <v>0</v>
      </c>
    </row>
    <row r="469" customFormat="false" ht="15" hidden="false" customHeight="false" outlineLevel="0" collapsed="false">
      <c r="A469" s="4" t="s">
        <v>399</v>
      </c>
      <c r="B469" s="4" t="s">
        <v>400</v>
      </c>
      <c r="C469" s="4" t="s">
        <v>104</v>
      </c>
      <c r="D469" s="4" t="s">
        <v>41</v>
      </c>
      <c r="E469" s="4" t="s">
        <v>93</v>
      </c>
      <c r="F469" s="7" t="n">
        <v>791</v>
      </c>
      <c r="G469" s="7" t="n">
        <v>791</v>
      </c>
      <c r="H469" s="7" t="n">
        <v>791</v>
      </c>
      <c r="I469" s="7" t="n">
        <v>791</v>
      </c>
      <c r="J469" s="7" t="n">
        <v>791</v>
      </c>
      <c r="K469" s="7" t="n">
        <v>791</v>
      </c>
      <c r="L469" s="7" t="n">
        <v>791</v>
      </c>
      <c r="M469" s="7" t="n">
        <v>520</v>
      </c>
      <c r="N469" s="7" t="n">
        <v>248.999999999999</v>
      </c>
      <c r="O469" s="7" t="n">
        <v>0</v>
      </c>
      <c r="P469" s="7" t="n">
        <v>0</v>
      </c>
      <c r="Q469" s="7" t="n">
        <v>0</v>
      </c>
      <c r="R469" s="7" t="n">
        <v>0</v>
      </c>
      <c r="S469" s="7" t="n">
        <v>0</v>
      </c>
      <c r="T469" s="7" t="n">
        <v>0</v>
      </c>
      <c r="U469" s="7" t="n">
        <v>0</v>
      </c>
      <c r="V469" s="7" t="n">
        <v>0</v>
      </c>
      <c r="W469" s="7" t="n">
        <v>0</v>
      </c>
      <c r="X469" s="7" t="n">
        <v>0</v>
      </c>
      <c r="Y469" s="7" t="n">
        <v>0</v>
      </c>
      <c r="Z469" s="7" t="n">
        <v>0</v>
      </c>
      <c r="AA469" s="7" t="n">
        <v>0</v>
      </c>
      <c r="AB469" s="7" t="n">
        <v>0</v>
      </c>
    </row>
    <row r="470" customFormat="false" ht="15" hidden="false" customHeight="false" outlineLevel="0" collapsed="false">
      <c r="A470" s="4" t="s">
        <v>401</v>
      </c>
      <c r="B470" s="4" t="s">
        <v>402</v>
      </c>
      <c r="C470" s="4" t="s">
        <v>104</v>
      </c>
      <c r="D470" s="4" t="s">
        <v>41</v>
      </c>
      <c r="E470" s="4" t="s">
        <v>91</v>
      </c>
      <c r="F470" s="7" t="n">
        <v>60.6247416000067</v>
      </c>
      <c r="G470" s="7" t="n">
        <v>63.4785603968482</v>
      </c>
      <c r="H470" s="7" t="n">
        <v>42.0200230191579</v>
      </c>
      <c r="I470" s="7" t="n">
        <v>3.38324415283203</v>
      </c>
      <c r="J470" s="7" t="n">
        <v>32.9129015380329</v>
      </c>
      <c r="K470" s="7" t="n">
        <v>12.5739714282032</v>
      </c>
      <c r="L470" s="7" t="n">
        <v>24.3892974668968</v>
      </c>
      <c r="M470" s="7" t="n">
        <v>98.9033097307092</v>
      </c>
      <c r="N470" s="7" t="n">
        <v>105.499429585847</v>
      </c>
      <c r="O470" s="7" t="n">
        <v>79.3068725960526</v>
      </c>
      <c r="P470" s="7" t="n">
        <v>91.7632361043773</v>
      </c>
      <c r="Q470" s="7" t="n">
        <v>16.2631947631836</v>
      </c>
      <c r="R470" s="7" t="n">
        <v>3.3925653503418</v>
      </c>
      <c r="S470" s="7" t="n">
        <v>95.094708264939</v>
      </c>
      <c r="T470" s="7" t="n">
        <v>9.3686108400113</v>
      </c>
      <c r="U470" s="7" t="n">
        <v>40.7276696283318</v>
      </c>
      <c r="V470" s="7" t="n">
        <v>43.8491895093491</v>
      </c>
      <c r="W470" s="7" t="n">
        <v>22.7657631530762</v>
      </c>
      <c r="X470" s="7" t="n">
        <v>5.27386213378906</v>
      </c>
      <c r="Y470" s="7" t="n">
        <v>0</v>
      </c>
      <c r="Z470" s="7" t="n">
        <v>0</v>
      </c>
      <c r="AA470" s="7" t="n">
        <v>7.3950509166164</v>
      </c>
      <c r="AB470" s="7" t="n">
        <v>5.36283789014765</v>
      </c>
    </row>
    <row r="471" customFormat="false" ht="15" hidden="false" customHeight="false" outlineLevel="0" collapsed="false">
      <c r="A471" s="4" t="s">
        <v>401</v>
      </c>
      <c r="B471" s="4" t="s">
        <v>402</v>
      </c>
      <c r="C471" s="4" t="s">
        <v>104</v>
      </c>
      <c r="D471" s="4" t="s">
        <v>41</v>
      </c>
      <c r="E471" s="4" t="s">
        <v>92</v>
      </c>
      <c r="F471" s="7" t="n">
        <v>0</v>
      </c>
      <c r="G471" s="7" t="n">
        <v>0</v>
      </c>
      <c r="H471" s="7" t="n">
        <v>0</v>
      </c>
      <c r="I471" s="7" t="n">
        <v>79.984073695954</v>
      </c>
      <c r="J471" s="7" t="n">
        <v>80.9462367760564</v>
      </c>
      <c r="K471" s="7" t="n">
        <v>44.4455822893883</v>
      </c>
      <c r="L471" s="7" t="n">
        <v>60.5486753323191</v>
      </c>
      <c r="M471" s="7" t="n">
        <v>2.99073836496996</v>
      </c>
      <c r="N471" s="7" t="n">
        <v>0</v>
      </c>
      <c r="O471" s="7" t="n">
        <v>0</v>
      </c>
      <c r="P471" s="7" t="n">
        <v>0</v>
      </c>
      <c r="Q471" s="7" t="n">
        <v>81.1569510963829</v>
      </c>
      <c r="R471" s="7" t="n">
        <v>65.5187176798981</v>
      </c>
      <c r="S471" s="7" t="n">
        <v>37.1160055746749</v>
      </c>
      <c r="T471" s="7" t="n">
        <v>0</v>
      </c>
      <c r="U471" s="7" t="n">
        <v>0</v>
      </c>
      <c r="V471" s="7" t="n">
        <v>129.100533757803</v>
      </c>
      <c r="W471" s="7" t="n">
        <v>105.714197817838</v>
      </c>
      <c r="X471" s="7" t="n">
        <v>98.0951038504088</v>
      </c>
      <c r="Y471" s="7" t="n">
        <v>72.8437306859155</v>
      </c>
      <c r="Z471" s="7" t="n">
        <v>55.2071177878226</v>
      </c>
      <c r="AA471" s="7" t="n">
        <v>53.2312471529732</v>
      </c>
      <c r="AB471" s="7" t="n">
        <v>94.2951216924437</v>
      </c>
    </row>
    <row r="472" customFormat="false" ht="15" hidden="false" customHeight="false" outlineLevel="0" collapsed="false">
      <c r="A472" s="4" t="s">
        <v>401</v>
      </c>
      <c r="B472" s="4" t="s">
        <v>402</v>
      </c>
      <c r="C472" s="4" t="s">
        <v>104</v>
      </c>
      <c r="D472" s="4" t="s">
        <v>41</v>
      </c>
      <c r="E472" s="4" t="s">
        <v>93</v>
      </c>
      <c r="F472" s="7" t="n">
        <v>0</v>
      </c>
      <c r="G472" s="7" t="n">
        <v>0</v>
      </c>
      <c r="H472" s="7" t="n">
        <v>0</v>
      </c>
      <c r="I472" s="7" t="n">
        <v>0</v>
      </c>
      <c r="J472" s="7" t="n">
        <v>0</v>
      </c>
      <c r="K472" s="7" t="n">
        <v>0</v>
      </c>
      <c r="L472" s="7" t="n">
        <v>0</v>
      </c>
      <c r="M472" s="7" t="n">
        <v>0</v>
      </c>
      <c r="N472" s="7" t="n">
        <v>0</v>
      </c>
      <c r="O472" s="7" t="n">
        <v>0</v>
      </c>
      <c r="P472" s="7" t="n">
        <v>0</v>
      </c>
      <c r="Q472" s="7" t="n">
        <v>0</v>
      </c>
      <c r="R472" s="7" t="n">
        <v>0</v>
      </c>
      <c r="S472" s="7" t="n">
        <v>0</v>
      </c>
      <c r="T472" s="7" t="n">
        <v>0</v>
      </c>
      <c r="U472" s="7" t="n">
        <v>0</v>
      </c>
      <c r="V472" s="7" t="n">
        <v>0</v>
      </c>
      <c r="W472" s="7" t="n">
        <v>0</v>
      </c>
      <c r="X472" s="7" t="n">
        <v>0</v>
      </c>
      <c r="Y472" s="7" t="n">
        <v>0</v>
      </c>
      <c r="Z472" s="7" t="n">
        <v>0</v>
      </c>
      <c r="AA472" s="7" t="n">
        <v>0</v>
      </c>
      <c r="AB472" s="7" t="n">
        <v>0</v>
      </c>
    </row>
    <row r="473" customFormat="false" ht="15" hidden="false" customHeight="false" outlineLevel="0" collapsed="false">
      <c r="A473" s="4" t="s">
        <v>403</v>
      </c>
      <c r="B473" s="4" t="s">
        <v>404</v>
      </c>
      <c r="C473" s="4" t="s">
        <v>104</v>
      </c>
      <c r="D473" s="4" t="s">
        <v>41</v>
      </c>
      <c r="E473" s="4" t="s">
        <v>91</v>
      </c>
      <c r="F473" s="7" t="n">
        <v>892.115399334274</v>
      </c>
      <c r="G473" s="7" t="n">
        <v>368.415343621616</v>
      </c>
      <c r="H473" s="7" t="n">
        <v>103.668637118111</v>
      </c>
      <c r="I473" s="7" t="n">
        <v>214.606852540164</v>
      </c>
      <c r="J473" s="7" t="n">
        <v>222.160676503009</v>
      </c>
      <c r="K473" s="7" t="n">
        <v>342.087366015553</v>
      </c>
      <c r="L473" s="7" t="n">
        <v>183.993550925664</v>
      </c>
      <c r="M473" s="7" t="n">
        <v>494.692987707221</v>
      </c>
      <c r="N473" s="7" t="n">
        <v>384.691080173352</v>
      </c>
      <c r="O473" s="7" t="n">
        <v>369.238970450392</v>
      </c>
      <c r="P473" s="7" t="n">
        <v>369.79309389603</v>
      </c>
      <c r="Q473" s="7" t="n">
        <v>745.024152581704</v>
      </c>
      <c r="R473" s="7" t="n">
        <v>292.743244428807</v>
      </c>
      <c r="S473" s="7" t="n">
        <v>243.389218941184</v>
      </c>
      <c r="T473" s="7" t="n">
        <v>187.54951294588</v>
      </c>
      <c r="U473" s="7" t="n">
        <v>459.265017329724</v>
      </c>
      <c r="V473" s="7" t="n">
        <v>780.204365698972</v>
      </c>
      <c r="W473" s="7" t="n">
        <v>416.907342207701</v>
      </c>
      <c r="X473" s="7" t="n">
        <v>181.978051863774</v>
      </c>
      <c r="Y473" s="7" t="n">
        <v>0</v>
      </c>
      <c r="Z473" s="7" t="n">
        <v>81.0456325972379</v>
      </c>
      <c r="AA473" s="7" t="n">
        <v>223.753011296291</v>
      </c>
      <c r="AB473" s="7" t="n">
        <v>76.5690098618734</v>
      </c>
    </row>
    <row r="474" customFormat="false" ht="15" hidden="false" customHeight="false" outlineLevel="0" collapsed="false">
      <c r="A474" s="4" t="s">
        <v>403</v>
      </c>
      <c r="B474" s="4" t="s">
        <v>404</v>
      </c>
      <c r="C474" s="4" t="s">
        <v>104</v>
      </c>
      <c r="D474" s="4" t="s">
        <v>41</v>
      </c>
      <c r="E474" s="4" t="s">
        <v>92</v>
      </c>
      <c r="F474" s="7" t="n">
        <v>352.761400445227</v>
      </c>
      <c r="G474" s="7" t="n">
        <v>284.39110878329</v>
      </c>
      <c r="H474" s="7" t="n">
        <v>165.198639237477</v>
      </c>
      <c r="I474" s="7" t="n">
        <v>316.800159352134</v>
      </c>
      <c r="J474" s="7" t="n">
        <v>135.5229393484</v>
      </c>
      <c r="K474" s="7" t="n">
        <v>236.409206623496</v>
      </c>
      <c r="L474" s="7" t="n">
        <v>225.027056773672</v>
      </c>
      <c r="M474" s="7" t="n">
        <v>492.457946552483</v>
      </c>
      <c r="N474" s="7" t="n">
        <v>378.237974016256</v>
      </c>
      <c r="O474" s="7" t="n">
        <v>566.414800874873</v>
      </c>
      <c r="P474" s="7" t="n">
        <v>367.903630152624</v>
      </c>
      <c r="Q474" s="7" t="n">
        <v>747.567103105541</v>
      </c>
      <c r="R474" s="7" t="n">
        <v>562.388799612941</v>
      </c>
      <c r="S474" s="7" t="n">
        <v>440.923555904086</v>
      </c>
      <c r="T474" s="7" t="n">
        <v>280.676411527794</v>
      </c>
      <c r="U474" s="7" t="n">
        <v>331.280543145165</v>
      </c>
      <c r="V474" s="7" t="n">
        <v>595.587143679127</v>
      </c>
      <c r="W474" s="7" t="n">
        <v>287.799040543488</v>
      </c>
      <c r="X474" s="7" t="n">
        <v>248.914335327591</v>
      </c>
      <c r="Y474" s="7" t="n">
        <v>236.42941006745</v>
      </c>
      <c r="Z474" s="7" t="n">
        <v>170.99200806412</v>
      </c>
      <c r="AA474" s="7" t="n">
        <v>0</v>
      </c>
      <c r="AB474" s="7" t="n">
        <v>68.773640847786</v>
      </c>
    </row>
    <row r="475" customFormat="false" ht="15" hidden="false" customHeight="false" outlineLevel="0" collapsed="false">
      <c r="A475" s="4" t="s">
        <v>403</v>
      </c>
      <c r="B475" s="4" t="s">
        <v>404</v>
      </c>
      <c r="C475" s="4" t="s">
        <v>104</v>
      </c>
      <c r="D475" s="4" t="s">
        <v>41</v>
      </c>
      <c r="E475" s="4" t="s">
        <v>93</v>
      </c>
      <c r="F475" s="7" t="n">
        <v>9300</v>
      </c>
      <c r="G475" s="7" t="n">
        <v>9300</v>
      </c>
      <c r="H475" s="7" t="n">
        <v>9300</v>
      </c>
      <c r="I475" s="7" t="n">
        <v>9300</v>
      </c>
      <c r="J475" s="7" t="n">
        <v>9300</v>
      </c>
      <c r="K475" s="7" t="n">
        <v>9300</v>
      </c>
      <c r="L475" s="7" t="n">
        <v>9300</v>
      </c>
      <c r="M475" s="7" t="n">
        <v>0</v>
      </c>
      <c r="N475" s="7" t="n">
        <v>0</v>
      </c>
      <c r="O475" s="7" t="n">
        <v>0</v>
      </c>
      <c r="P475" s="7" t="n">
        <v>0</v>
      </c>
      <c r="Q475" s="7" t="n">
        <v>0</v>
      </c>
      <c r="R475" s="7" t="n">
        <v>0</v>
      </c>
      <c r="S475" s="7" t="n">
        <v>0</v>
      </c>
      <c r="T475" s="7" t="n">
        <v>0</v>
      </c>
      <c r="U475" s="7" t="n">
        <v>0</v>
      </c>
      <c r="V475" s="7" t="n">
        <v>0</v>
      </c>
      <c r="W475" s="7" t="n">
        <v>0</v>
      </c>
      <c r="X475" s="7" t="n">
        <v>0</v>
      </c>
      <c r="Y475" s="7" t="n">
        <v>0</v>
      </c>
      <c r="Z475" s="7" t="n">
        <v>0</v>
      </c>
      <c r="AA475" s="7" t="n">
        <v>0</v>
      </c>
      <c r="AB475" s="7" t="n">
        <v>0</v>
      </c>
    </row>
    <row r="476" customFormat="false" ht="15" hidden="false" customHeight="false" outlineLevel="0" collapsed="false">
      <c r="A476" s="4" t="s">
        <v>405</v>
      </c>
      <c r="B476" s="4" t="s">
        <v>406</v>
      </c>
      <c r="C476" s="4" t="s">
        <v>101</v>
      </c>
      <c r="D476" s="4" t="s">
        <v>69</v>
      </c>
      <c r="E476" s="4" t="s">
        <v>91</v>
      </c>
      <c r="F476" s="7" t="n">
        <v>62.2493793752273</v>
      </c>
      <c r="G476" s="7" t="n">
        <v>56.8395061642487</v>
      </c>
      <c r="H476" s="7" t="n">
        <v>22.4236406967406</v>
      </c>
      <c r="I476" s="7" t="n">
        <v>72.4447144232447</v>
      </c>
      <c r="J476" s="7" t="n">
        <v>57.5997139726038</v>
      </c>
      <c r="K476" s="7" t="n">
        <v>506.572514910249</v>
      </c>
      <c r="L476" s="7" t="n">
        <v>159.004356553883</v>
      </c>
      <c r="M476" s="7" t="n">
        <v>309.258838114229</v>
      </c>
      <c r="N476" s="7" t="n">
        <v>177.276009876924</v>
      </c>
      <c r="O476" s="7" t="n">
        <v>530.413247014781</v>
      </c>
      <c r="P476" s="7" t="n">
        <v>366.279127346287</v>
      </c>
      <c r="Q476" s="7" t="n">
        <v>182.738658596407</v>
      </c>
      <c r="R476" s="7" t="n">
        <v>334.159896397825</v>
      </c>
      <c r="S476" s="7" t="n">
        <v>410.884983228928</v>
      </c>
      <c r="T476" s="7" t="n">
        <v>209.575116025367</v>
      </c>
      <c r="U476" s="7" t="n">
        <v>177.626943149582</v>
      </c>
      <c r="V476" s="7" t="n">
        <v>149.987517571686</v>
      </c>
      <c r="W476" s="7" t="n">
        <v>73.8607039523495</v>
      </c>
      <c r="X476" s="7" t="n">
        <v>68.0996074173751</v>
      </c>
      <c r="Y476" s="7" t="n">
        <v>31.6210861195534</v>
      </c>
      <c r="Z476" s="7" t="n">
        <v>50.9712682474399</v>
      </c>
      <c r="AA476" s="7" t="n">
        <v>11.5703611036452</v>
      </c>
      <c r="AB476" s="7" t="n">
        <v>24.482352414838</v>
      </c>
    </row>
    <row r="477" customFormat="false" ht="15" hidden="false" customHeight="false" outlineLevel="0" collapsed="false">
      <c r="A477" s="4" t="s">
        <v>405</v>
      </c>
      <c r="B477" s="4" t="s">
        <v>406</v>
      </c>
      <c r="C477" s="4" t="s">
        <v>101</v>
      </c>
      <c r="D477" s="4" t="s">
        <v>69</v>
      </c>
      <c r="E477" s="4" t="s">
        <v>92</v>
      </c>
      <c r="F477" s="7" t="n">
        <v>189.893675363973</v>
      </c>
      <c r="G477" s="7" t="n">
        <v>144.927785363808</v>
      </c>
      <c r="H477" s="7" t="n">
        <v>132.279438587401</v>
      </c>
      <c r="I477" s="7" t="n">
        <v>86.2479206118685</v>
      </c>
      <c r="J477" s="7" t="n">
        <v>36.0572552487073</v>
      </c>
      <c r="K477" s="7" t="n">
        <v>154.850335935339</v>
      </c>
      <c r="L477" s="7" t="n">
        <v>0</v>
      </c>
      <c r="M477" s="7" t="n">
        <v>0</v>
      </c>
      <c r="N477" s="7" t="n">
        <v>0</v>
      </c>
      <c r="O477" s="7" t="n">
        <v>0</v>
      </c>
      <c r="P477" s="7" t="n">
        <v>0</v>
      </c>
      <c r="Q477" s="7" t="n">
        <v>0</v>
      </c>
      <c r="R477" s="7" t="n">
        <v>0</v>
      </c>
      <c r="S477" s="7" t="n">
        <v>0</v>
      </c>
      <c r="T477" s="7" t="n">
        <v>0</v>
      </c>
      <c r="U477" s="7" t="n">
        <v>0</v>
      </c>
      <c r="V477" s="7" t="n">
        <v>0</v>
      </c>
      <c r="W477" s="7" t="n">
        <v>0</v>
      </c>
      <c r="X477" s="7" t="n">
        <v>0</v>
      </c>
      <c r="Y477" s="7" t="n">
        <v>23.2359233011871</v>
      </c>
      <c r="Z477" s="7" t="n">
        <v>16.430894154832</v>
      </c>
      <c r="AA477" s="7" t="n">
        <v>16.4613742410479</v>
      </c>
      <c r="AB477" s="7" t="n">
        <v>14.0745993673886</v>
      </c>
    </row>
    <row r="478" customFormat="false" ht="15" hidden="false" customHeight="false" outlineLevel="0" collapsed="false">
      <c r="A478" s="4" t="s">
        <v>405</v>
      </c>
      <c r="B478" s="4" t="s">
        <v>406</v>
      </c>
      <c r="C478" s="4" t="s">
        <v>101</v>
      </c>
      <c r="D478" s="4" t="s">
        <v>69</v>
      </c>
      <c r="E478" s="4" t="s">
        <v>93</v>
      </c>
      <c r="F478" s="7" t="n">
        <v>0</v>
      </c>
      <c r="G478" s="7" t="n">
        <v>0</v>
      </c>
      <c r="H478" s="7" t="n">
        <v>0</v>
      </c>
      <c r="I478" s="7" t="n">
        <v>0</v>
      </c>
      <c r="J478" s="7" t="n">
        <v>0</v>
      </c>
      <c r="K478" s="7" t="n">
        <v>0</v>
      </c>
      <c r="L478" s="7" t="n">
        <v>0</v>
      </c>
      <c r="M478" s="7" t="n">
        <v>0</v>
      </c>
      <c r="N478" s="7" t="n">
        <v>0</v>
      </c>
      <c r="O478" s="7" t="n">
        <v>0</v>
      </c>
      <c r="P478" s="7" t="n">
        <v>0</v>
      </c>
      <c r="Q478" s="7" t="n">
        <v>0</v>
      </c>
      <c r="R478" s="7" t="n">
        <v>0</v>
      </c>
      <c r="S478" s="7" t="n">
        <v>0</v>
      </c>
      <c r="T478" s="7" t="n">
        <v>0</v>
      </c>
      <c r="U478" s="7" t="n">
        <v>0</v>
      </c>
      <c r="V478" s="7" t="n">
        <v>0</v>
      </c>
      <c r="W478" s="7" t="n">
        <v>0</v>
      </c>
      <c r="X478" s="7" t="n">
        <v>0</v>
      </c>
      <c r="Y478" s="7" t="n">
        <v>0</v>
      </c>
      <c r="Z478" s="7" t="n">
        <v>0</v>
      </c>
      <c r="AA478" s="7" t="n">
        <v>0</v>
      </c>
      <c r="AB478" s="7" t="n">
        <v>0</v>
      </c>
    </row>
    <row r="479" customFormat="false" ht="15" hidden="false" customHeight="false" outlineLevel="0" collapsed="false">
      <c r="A479" s="4" t="s">
        <v>407</v>
      </c>
      <c r="B479" s="4" t="s">
        <v>408</v>
      </c>
      <c r="C479" s="4" t="s">
        <v>101</v>
      </c>
      <c r="D479" s="4" t="s">
        <v>75</v>
      </c>
      <c r="E479" s="4" t="s">
        <v>91</v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0</v>
      </c>
      <c r="M479" s="7" t="n">
        <v>0</v>
      </c>
      <c r="N479" s="7" t="n">
        <v>0</v>
      </c>
      <c r="O479" s="7" t="n">
        <v>0</v>
      </c>
      <c r="P479" s="7" t="n">
        <v>0</v>
      </c>
      <c r="Q479" s="7" t="n">
        <v>0.677483954384491</v>
      </c>
      <c r="R479" s="7" t="n">
        <v>0.753392107341149</v>
      </c>
      <c r="S479" s="7" t="n">
        <v>0.698976452986391</v>
      </c>
      <c r="T479" s="7" t="n">
        <v>0</v>
      </c>
      <c r="U479" s="7" t="n">
        <v>0</v>
      </c>
      <c r="V479" s="7" t="n">
        <v>0</v>
      </c>
      <c r="W479" s="7" t="n">
        <v>0</v>
      </c>
      <c r="X479" s="7" t="n">
        <v>0</v>
      </c>
      <c r="Y479" s="7" t="n">
        <v>0</v>
      </c>
      <c r="Z479" s="7" t="n">
        <v>0</v>
      </c>
      <c r="AA479" s="7" t="n">
        <v>0</v>
      </c>
      <c r="AB479" s="7" t="n">
        <v>0</v>
      </c>
    </row>
    <row r="480" customFormat="false" ht="15" hidden="false" customHeight="false" outlineLevel="0" collapsed="false">
      <c r="A480" s="4" t="s">
        <v>407</v>
      </c>
      <c r="B480" s="4" t="s">
        <v>408</v>
      </c>
      <c r="C480" s="4" t="s">
        <v>101</v>
      </c>
      <c r="D480" s="4" t="s">
        <v>75</v>
      </c>
      <c r="E480" s="4" t="s">
        <v>92</v>
      </c>
      <c r="F480" s="7" t="n">
        <v>0</v>
      </c>
      <c r="G480" s="7" t="n">
        <v>0</v>
      </c>
      <c r="H480" s="7" t="n">
        <v>0</v>
      </c>
      <c r="I480" s="7" t="n">
        <v>0</v>
      </c>
      <c r="J480" s="7" t="n">
        <v>0</v>
      </c>
      <c r="K480" s="7" t="n">
        <v>0</v>
      </c>
      <c r="L480" s="7" t="n">
        <v>0</v>
      </c>
      <c r="M480" s="7" t="n">
        <v>0</v>
      </c>
      <c r="N480" s="7" t="n">
        <v>0</v>
      </c>
      <c r="O480" s="7" t="n">
        <v>0</v>
      </c>
      <c r="P480" s="7" t="n">
        <v>0</v>
      </c>
      <c r="Q480" s="7" t="n">
        <v>0.00582825875027426</v>
      </c>
      <c r="R480" s="7" t="n">
        <v>0.233578308918616</v>
      </c>
      <c r="S480" s="7" t="n">
        <v>0.212077636369078</v>
      </c>
      <c r="T480" s="7" t="n">
        <v>0</v>
      </c>
      <c r="U480" s="7" t="n">
        <v>0</v>
      </c>
      <c r="V480" s="7" t="n">
        <v>0</v>
      </c>
      <c r="W480" s="7" t="n">
        <v>0</v>
      </c>
      <c r="X480" s="7" t="n">
        <v>0</v>
      </c>
      <c r="Y480" s="7" t="n">
        <v>0</v>
      </c>
      <c r="Z480" s="7" t="n">
        <v>0</v>
      </c>
      <c r="AA480" s="7" t="n">
        <v>0</v>
      </c>
      <c r="AB480" s="7" t="n">
        <v>0</v>
      </c>
    </row>
    <row r="481" customFormat="false" ht="15" hidden="false" customHeight="false" outlineLevel="0" collapsed="false">
      <c r="A481" s="4" t="s">
        <v>407</v>
      </c>
      <c r="B481" s="4" t="s">
        <v>408</v>
      </c>
      <c r="C481" s="4" t="s">
        <v>101</v>
      </c>
      <c r="D481" s="4" t="s">
        <v>75</v>
      </c>
      <c r="E481" s="4" t="s">
        <v>93</v>
      </c>
      <c r="F481" s="7" t="n">
        <v>0</v>
      </c>
      <c r="G481" s="7" t="n">
        <v>0</v>
      </c>
      <c r="H481" s="7" t="n">
        <v>0</v>
      </c>
      <c r="I481" s="7" t="n">
        <v>0</v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7" t="n">
        <v>0</v>
      </c>
      <c r="P481" s="7" t="n">
        <v>0</v>
      </c>
      <c r="Q481" s="7" t="n">
        <v>0</v>
      </c>
      <c r="R481" s="7" t="n">
        <v>0</v>
      </c>
      <c r="S481" s="7" t="n">
        <v>0</v>
      </c>
      <c r="T481" s="7" t="n">
        <v>0</v>
      </c>
      <c r="U481" s="7" t="n">
        <v>0</v>
      </c>
      <c r="V481" s="7" t="n">
        <v>0</v>
      </c>
      <c r="W481" s="7" t="n">
        <v>0</v>
      </c>
      <c r="X481" s="7" t="n">
        <v>0</v>
      </c>
      <c r="Y481" s="7" t="n">
        <v>0</v>
      </c>
      <c r="Z481" s="7" t="n">
        <v>0</v>
      </c>
      <c r="AA481" s="7" t="n">
        <v>0</v>
      </c>
      <c r="AB481" s="7" t="n">
        <v>0</v>
      </c>
    </row>
    <row r="482" customFormat="false" ht="15" hidden="false" customHeight="false" outlineLevel="0" collapsed="false">
      <c r="A482" s="4" t="s">
        <v>409</v>
      </c>
      <c r="B482" s="4" t="s">
        <v>410</v>
      </c>
      <c r="C482" s="4" t="s">
        <v>99</v>
      </c>
      <c r="D482" s="4" t="s">
        <v>77</v>
      </c>
      <c r="E482" s="4" t="s">
        <v>91</v>
      </c>
      <c r="F482" s="7" t="n">
        <v>77.486698052641</v>
      </c>
      <c r="G482" s="7" t="n">
        <v>23.7057168115498</v>
      </c>
      <c r="H482" s="7" t="n">
        <v>17.2146245549642</v>
      </c>
      <c r="I482" s="7" t="n">
        <v>11.9498479902874</v>
      </c>
      <c r="J482" s="7" t="n">
        <v>21.9746216114074</v>
      </c>
      <c r="K482" s="7" t="n">
        <v>13.2834013527194</v>
      </c>
      <c r="L482" s="7" t="n">
        <v>52.0964696559221</v>
      </c>
      <c r="M482" s="7" t="n">
        <v>50.8197106737026</v>
      </c>
      <c r="N482" s="7" t="n">
        <v>22.7664174679978</v>
      </c>
      <c r="O482" s="7" t="n">
        <v>15.5711737060547</v>
      </c>
      <c r="P482" s="7" t="n">
        <v>12.5283971191406</v>
      </c>
      <c r="Q482" s="7" t="n">
        <v>158.789831047507</v>
      </c>
      <c r="R482" s="7" t="n">
        <v>41.092462880353</v>
      </c>
      <c r="S482" s="7" t="n">
        <v>52.0249432191726</v>
      </c>
      <c r="T482" s="7" t="n">
        <v>130.958979730252</v>
      </c>
      <c r="U482" s="7" t="n">
        <v>181.915524542848</v>
      </c>
      <c r="V482" s="7" t="n">
        <v>200.854258549384</v>
      </c>
      <c r="W482" s="7" t="n">
        <v>107.374524859619</v>
      </c>
      <c r="X482" s="7" t="n">
        <v>32.5102214901913</v>
      </c>
      <c r="Y482" s="7" t="n">
        <v>0</v>
      </c>
      <c r="Z482" s="7" t="n">
        <v>0</v>
      </c>
      <c r="AA482" s="7" t="n">
        <v>0.621132802494805</v>
      </c>
      <c r="AB482" s="7" t="n">
        <v>0.392194039128774</v>
      </c>
    </row>
    <row r="483" customFormat="false" ht="15" hidden="false" customHeight="false" outlineLevel="0" collapsed="false">
      <c r="A483" s="4" t="s">
        <v>409</v>
      </c>
      <c r="B483" s="4" t="s">
        <v>410</v>
      </c>
      <c r="C483" s="4" t="s">
        <v>99</v>
      </c>
      <c r="D483" s="4" t="s">
        <v>77</v>
      </c>
      <c r="E483" s="4" t="s">
        <v>92</v>
      </c>
      <c r="F483" s="7" t="n">
        <v>2.36865651744483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0</v>
      </c>
      <c r="L483" s="7" t="n">
        <v>2.75260549692424</v>
      </c>
      <c r="M483" s="7" t="n">
        <v>0</v>
      </c>
      <c r="N483" s="7" t="n">
        <v>0</v>
      </c>
      <c r="O483" s="7" t="n">
        <v>0</v>
      </c>
      <c r="P483" s="7" t="n">
        <v>0</v>
      </c>
      <c r="Q483" s="7" t="n">
        <v>0</v>
      </c>
      <c r="R483" s="7" t="n">
        <v>1.2699016948423</v>
      </c>
      <c r="S483" s="7" t="n">
        <v>0.664258705662212</v>
      </c>
      <c r="T483" s="7" t="n">
        <v>3.06278273645494</v>
      </c>
      <c r="U483" s="7" t="n">
        <v>1.9710839066632</v>
      </c>
      <c r="V483" s="7" t="n">
        <v>3.15204137872942</v>
      </c>
      <c r="W483" s="7" t="n">
        <v>0.819599470302744</v>
      </c>
      <c r="X483" s="7" t="n">
        <v>0</v>
      </c>
      <c r="Y483" s="7" t="n">
        <v>0</v>
      </c>
      <c r="Z483" s="7" t="n">
        <v>0</v>
      </c>
      <c r="AA483" s="7" t="n">
        <v>0.3388143773814</v>
      </c>
      <c r="AB483" s="7" t="n">
        <v>0.213933282297103</v>
      </c>
    </row>
    <row r="484" customFormat="false" ht="15" hidden="false" customHeight="false" outlineLevel="0" collapsed="false">
      <c r="A484" s="4" t="s">
        <v>409</v>
      </c>
      <c r="B484" s="4" t="s">
        <v>410</v>
      </c>
      <c r="C484" s="4" t="s">
        <v>99</v>
      </c>
      <c r="D484" s="4" t="s">
        <v>77</v>
      </c>
      <c r="E484" s="4" t="s">
        <v>93</v>
      </c>
      <c r="F484" s="7" t="n">
        <v>0.80311092255169</v>
      </c>
      <c r="G484" s="7" t="n">
        <v>0.490990738499068</v>
      </c>
      <c r="H484" s="7" t="n">
        <v>0.371590014127572</v>
      </c>
      <c r="I484" s="7" t="n">
        <v>0.33221167157781</v>
      </c>
      <c r="J484" s="7" t="n">
        <v>0.546437865772612</v>
      </c>
      <c r="K484" s="7" t="n">
        <v>0.261663240786489</v>
      </c>
      <c r="L484" s="7" t="n">
        <v>0.931916784146261</v>
      </c>
      <c r="M484" s="7" t="n">
        <v>0.340834486209529</v>
      </c>
      <c r="N484" s="7" t="n">
        <v>0.359634204365523</v>
      </c>
      <c r="O484" s="7" t="n">
        <v>0</v>
      </c>
      <c r="P484" s="7" t="n">
        <v>0</v>
      </c>
      <c r="Q484" s="7" t="n">
        <v>0</v>
      </c>
      <c r="R484" s="7" t="n">
        <v>0</v>
      </c>
      <c r="S484" s="7" t="n">
        <v>0.784719022718046</v>
      </c>
      <c r="T484" s="7" t="n">
        <v>1.90059546130542</v>
      </c>
      <c r="U484" s="7" t="n">
        <v>2.48444330830104</v>
      </c>
      <c r="V484" s="7" t="n">
        <v>3.29493436071945</v>
      </c>
      <c r="W484" s="7" t="n">
        <v>1.32102645132812</v>
      </c>
      <c r="X484" s="7" t="n">
        <v>3.40254990234375</v>
      </c>
      <c r="Y484" s="7" t="n">
        <v>4.71841602172852</v>
      </c>
      <c r="Z484" s="7" t="n">
        <v>3.89635240478516</v>
      </c>
      <c r="AA484" s="7" t="n">
        <v>0.677538946832779</v>
      </c>
      <c r="AB484" s="7" t="n">
        <v>1.3425563028417</v>
      </c>
    </row>
    <row r="485" customFormat="false" ht="15" hidden="false" customHeight="false" outlineLevel="0" collapsed="false">
      <c r="A485" s="4" t="s">
        <v>411</v>
      </c>
      <c r="B485" s="4" t="s">
        <v>412</v>
      </c>
      <c r="C485" s="4" t="s">
        <v>101</v>
      </c>
      <c r="D485" s="4" t="s">
        <v>63</v>
      </c>
      <c r="E485" s="4" t="s">
        <v>91</v>
      </c>
      <c r="F485" s="7" t="n">
        <v>923.569855157789</v>
      </c>
      <c r="G485" s="7" t="n">
        <v>2079.13432541288</v>
      </c>
      <c r="H485" s="7" t="n">
        <v>215.471530707189</v>
      </c>
      <c r="I485" s="7" t="n">
        <v>551.810541091075</v>
      </c>
      <c r="J485" s="7" t="n">
        <v>551.043558480302</v>
      </c>
      <c r="K485" s="7" t="n">
        <v>4395.09762857864</v>
      </c>
      <c r="L485" s="7" t="n">
        <v>1607.9066551895</v>
      </c>
      <c r="M485" s="7" t="n">
        <v>6354.53609368274</v>
      </c>
      <c r="N485" s="7" t="n">
        <v>2592.93603934348</v>
      </c>
      <c r="O485" s="7" t="n">
        <v>563.325964452531</v>
      </c>
      <c r="P485" s="7" t="n">
        <v>1707.39718287139</v>
      </c>
      <c r="Q485" s="7" t="n">
        <v>5338.96937282975</v>
      </c>
      <c r="R485" s="7" t="n">
        <v>6392.79426535669</v>
      </c>
      <c r="S485" s="7" t="n">
        <v>6700.62666974108</v>
      </c>
      <c r="T485" s="7" t="n">
        <v>4445.35116546007</v>
      </c>
      <c r="U485" s="7" t="n">
        <v>4117.79660922925</v>
      </c>
      <c r="V485" s="7" t="n">
        <v>4366.79247713266</v>
      </c>
      <c r="W485" s="7" t="n">
        <v>2204.49570402452</v>
      </c>
      <c r="X485" s="7" t="n">
        <v>827.020521586345</v>
      </c>
      <c r="Y485" s="7" t="n">
        <v>475.103034797829</v>
      </c>
      <c r="Z485" s="7" t="n">
        <v>788.118080550285</v>
      </c>
      <c r="AA485" s="7" t="n">
        <v>998.041181358195</v>
      </c>
      <c r="AB485" s="7" t="n">
        <v>1591.01575452218</v>
      </c>
    </row>
    <row r="486" customFormat="false" ht="15" hidden="false" customHeight="false" outlineLevel="0" collapsed="false">
      <c r="A486" s="4" t="s">
        <v>411</v>
      </c>
      <c r="B486" s="4" t="s">
        <v>412</v>
      </c>
      <c r="C486" s="4" t="s">
        <v>101</v>
      </c>
      <c r="D486" s="4" t="s">
        <v>63</v>
      </c>
      <c r="E486" s="4" t="s">
        <v>92</v>
      </c>
      <c r="F486" s="7" t="n">
        <v>279.401292149962</v>
      </c>
      <c r="G486" s="7" t="n">
        <v>658.623017010957</v>
      </c>
      <c r="H486" s="7" t="n">
        <v>129.865860542547</v>
      </c>
      <c r="I486" s="7" t="n">
        <v>319.166831489683</v>
      </c>
      <c r="J486" s="7" t="n">
        <v>403.433073077052</v>
      </c>
      <c r="K486" s="7" t="n">
        <v>1165.28505675624</v>
      </c>
      <c r="L486" s="7" t="n">
        <v>246.129297428887</v>
      </c>
      <c r="M486" s="7" t="n">
        <v>310.296568779326</v>
      </c>
      <c r="N486" s="7" t="n">
        <v>62.2015013341309</v>
      </c>
      <c r="O486" s="7" t="n">
        <v>10.1341799308463</v>
      </c>
      <c r="P486" s="7" t="n">
        <v>28.390728847222</v>
      </c>
      <c r="Q486" s="7" t="n">
        <v>74.1823797217095</v>
      </c>
      <c r="R486" s="7" t="n">
        <v>58.6008213848933</v>
      </c>
      <c r="S486" s="7" t="n">
        <v>174.022645755485</v>
      </c>
      <c r="T486" s="7" t="n">
        <v>132.305428732736</v>
      </c>
      <c r="U486" s="7" t="n">
        <v>644.117761129761</v>
      </c>
      <c r="V486" s="7" t="n">
        <v>2643.37823583839</v>
      </c>
      <c r="W486" s="7" t="n">
        <v>3706.42363981775</v>
      </c>
      <c r="X486" s="7" t="n">
        <v>4895.82540788363</v>
      </c>
      <c r="Y486" s="7" t="n">
        <v>3064.27604255949</v>
      </c>
      <c r="Z486" s="7" t="n">
        <v>4649.76804057772</v>
      </c>
      <c r="AA486" s="7" t="n">
        <v>4458.35653913997</v>
      </c>
      <c r="AB486" s="7" t="n">
        <v>8755.15183648462</v>
      </c>
    </row>
    <row r="487" customFormat="false" ht="15" hidden="false" customHeight="false" outlineLevel="0" collapsed="false">
      <c r="A487" s="4" t="s">
        <v>411</v>
      </c>
      <c r="B487" s="4" t="s">
        <v>412</v>
      </c>
      <c r="C487" s="4" t="s">
        <v>101</v>
      </c>
      <c r="D487" s="4" t="s">
        <v>63</v>
      </c>
      <c r="E487" s="4" t="s">
        <v>93</v>
      </c>
      <c r="F487" s="7" t="n">
        <v>0</v>
      </c>
      <c r="G487" s="7" t="n">
        <v>0</v>
      </c>
      <c r="H487" s="7" t="n">
        <v>0</v>
      </c>
      <c r="I487" s="7" t="n">
        <v>0</v>
      </c>
      <c r="J487" s="7" t="n">
        <v>0</v>
      </c>
      <c r="K487" s="7" t="n">
        <v>0</v>
      </c>
      <c r="L487" s="7" t="n">
        <v>0</v>
      </c>
      <c r="M487" s="7" t="n">
        <v>0</v>
      </c>
      <c r="N487" s="7" t="n">
        <v>0</v>
      </c>
      <c r="O487" s="7" t="n">
        <v>0</v>
      </c>
      <c r="P487" s="7" t="n">
        <v>0</v>
      </c>
      <c r="Q487" s="7" t="n">
        <v>0</v>
      </c>
      <c r="R487" s="7" t="n">
        <v>0</v>
      </c>
      <c r="S487" s="7" t="n">
        <v>0</v>
      </c>
      <c r="T487" s="7" t="n">
        <v>0</v>
      </c>
      <c r="U487" s="7" t="n">
        <v>0</v>
      </c>
      <c r="V487" s="7" t="n">
        <v>0</v>
      </c>
      <c r="W487" s="7" t="n">
        <v>0</v>
      </c>
      <c r="X487" s="7" t="n">
        <v>0</v>
      </c>
      <c r="Y487" s="7" t="n">
        <v>0</v>
      </c>
      <c r="Z487" s="7" t="n">
        <v>0</v>
      </c>
      <c r="AA487" s="7" t="n">
        <v>0</v>
      </c>
      <c r="AB487" s="7" t="n">
        <v>0</v>
      </c>
    </row>
    <row r="488" customFormat="false" ht="15" hidden="false" customHeight="false" outlineLevel="0" collapsed="false">
      <c r="A488" s="4" t="s">
        <v>413</v>
      </c>
      <c r="B488" s="4" t="s">
        <v>414</v>
      </c>
      <c r="C488" s="4" t="s">
        <v>101</v>
      </c>
      <c r="D488" s="4" t="s">
        <v>57</v>
      </c>
      <c r="E488" s="4" t="s">
        <v>91</v>
      </c>
      <c r="F488" s="7" t="n">
        <v>952.785154045519</v>
      </c>
      <c r="G488" s="7" t="n">
        <v>663.645364903107</v>
      </c>
      <c r="H488" s="7" t="n">
        <v>951.511466643621</v>
      </c>
      <c r="I488" s="7" t="n">
        <v>1090.65094091428</v>
      </c>
      <c r="J488" s="7" t="n">
        <v>1009.1295563341</v>
      </c>
      <c r="K488" s="7" t="n">
        <v>739.54899361045</v>
      </c>
      <c r="L488" s="7" t="n">
        <v>1259.11900383846</v>
      </c>
      <c r="M488" s="7" t="n">
        <v>406.699744535316</v>
      </c>
      <c r="N488" s="7" t="n">
        <v>4133.28567844408</v>
      </c>
      <c r="O488" s="7" t="n">
        <v>166.840191063178</v>
      </c>
      <c r="P488" s="7" t="n">
        <v>226.098053306201</v>
      </c>
      <c r="Q488" s="7" t="n">
        <v>567.28283927878</v>
      </c>
      <c r="R488" s="7" t="n">
        <v>554.728103030072</v>
      </c>
      <c r="S488" s="7" t="n">
        <v>476.911987992772</v>
      </c>
      <c r="T488" s="7" t="n">
        <v>151.256897526209</v>
      </c>
      <c r="U488" s="7" t="n">
        <v>220.181929274853</v>
      </c>
      <c r="V488" s="7" t="n">
        <v>220.058797092256</v>
      </c>
      <c r="W488" s="7" t="n">
        <v>291.020310620512</v>
      </c>
      <c r="X488" s="7" t="n">
        <v>149.822036203879</v>
      </c>
      <c r="Y488" s="7" t="n">
        <v>328.668058806724</v>
      </c>
      <c r="Z488" s="7" t="n">
        <v>281.445106615655</v>
      </c>
      <c r="AA488" s="7" t="n">
        <v>268.081082686722</v>
      </c>
      <c r="AB488" s="7" t="n">
        <v>346.505603567803</v>
      </c>
    </row>
    <row r="489" customFormat="false" ht="15" hidden="false" customHeight="false" outlineLevel="0" collapsed="false">
      <c r="A489" s="4" t="s">
        <v>413</v>
      </c>
      <c r="B489" s="4" t="s">
        <v>414</v>
      </c>
      <c r="C489" s="4" t="s">
        <v>101</v>
      </c>
      <c r="D489" s="4" t="s">
        <v>57</v>
      </c>
      <c r="E489" s="4" t="s">
        <v>92</v>
      </c>
      <c r="F489" s="7" t="n">
        <v>102.635206111501</v>
      </c>
      <c r="G489" s="7" t="n">
        <v>52.6325973237929</v>
      </c>
      <c r="H489" s="7" t="n">
        <v>53.3732330211521</v>
      </c>
      <c r="I489" s="7" t="n">
        <v>44.0506598450422</v>
      </c>
      <c r="J489" s="7" t="n">
        <v>20.0774325759831</v>
      </c>
      <c r="K489" s="7" t="n">
        <v>19.2276267274002</v>
      </c>
      <c r="L489" s="7" t="n">
        <v>87.2131681476894</v>
      </c>
      <c r="M489" s="7" t="n">
        <v>43.3962857694443</v>
      </c>
      <c r="N489" s="7" t="n">
        <v>98.6514928090365</v>
      </c>
      <c r="O489" s="7" t="n">
        <v>4.43312115663397</v>
      </c>
      <c r="P489" s="7" t="n">
        <v>5.21941054634241</v>
      </c>
      <c r="Q489" s="7" t="n">
        <v>354.906122771194</v>
      </c>
      <c r="R489" s="7" t="n">
        <v>98.4618606534065</v>
      </c>
      <c r="S489" s="7" t="n">
        <v>48.754920255212</v>
      </c>
      <c r="T489" s="7" t="n">
        <v>9.41134580163319</v>
      </c>
      <c r="U489" s="7" t="n">
        <v>20.8624876264555</v>
      </c>
      <c r="V489" s="7" t="n">
        <v>35.0655703850357</v>
      </c>
      <c r="W489" s="7" t="n">
        <v>63.5354557315083</v>
      </c>
      <c r="X489" s="7" t="n">
        <v>39.8836141001762</v>
      </c>
      <c r="Y489" s="7" t="n">
        <v>73.513597623437</v>
      </c>
      <c r="Z489" s="7" t="n">
        <v>60.8531412001655</v>
      </c>
      <c r="AA489" s="7" t="n">
        <v>68.6033554993485</v>
      </c>
      <c r="AB489" s="7" t="n">
        <v>79.9804535695426</v>
      </c>
    </row>
    <row r="490" customFormat="false" ht="15" hidden="false" customHeight="false" outlineLevel="0" collapsed="false">
      <c r="A490" s="4" t="s">
        <v>413</v>
      </c>
      <c r="B490" s="4" t="s">
        <v>414</v>
      </c>
      <c r="C490" s="4" t="s">
        <v>101</v>
      </c>
      <c r="D490" s="4" t="s">
        <v>57</v>
      </c>
      <c r="E490" s="4" t="s">
        <v>93</v>
      </c>
      <c r="F490" s="7" t="n">
        <v>1.25796765136336</v>
      </c>
      <c r="G490" s="7" t="n">
        <v>0.369512811229154</v>
      </c>
      <c r="H490" s="7" t="n">
        <v>0.242339181494495</v>
      </c>
      <c r="I490" s="7" t="n">
        <v>1.03536923970029</v>
      </c>
      <c r="J490" s="7" t="n">
        <v>0.261026090344427</v>
      </c>
      <c r="K490" s="7" t="n">
        <v>0.329121896132395</v>
      </c>
      <c r="L490" s="7" t="n">
        <v>0.769669229218027</v>
      </c>
      <c r="M490" s="7" t="n">
        <v>0.686698682247887</v>
      </c>
      <c r="N490" s="7" t="n">
        <v>0.371465400507195</v>
      </c>
      <c r="O490" s="7" t="n">
        <v>0.0980958933644228</v>
      </c>
      <c r="P490" s="7" t="n">
        <v>0.117882374263293</v>
      </c>
      <c r="Q490" s="7" t="n">
        <v>5.1076804488774</v>
      </c>
      <c r="R490" s="7" t="n">
        <v>4.17151590610248</v>
      </c>
      <c r="S490" s="7" t="n">
        <v>1.22389474676032</v>
      </c>
      <c r="T490" s="7" t="n">
        <v>0.357237406494612</v>
      </c>
      <c r="U490" s="7" t="n">
        <v>1.55052938196219</v>
      </c>
      <c r="V490" s="7" t="n">
        <v>0.203645533321618</v>
      </c>
      <c r="W490" s="7" t="n">
        <v>0.158151732194249</v>
      </c>
      <c r="X490" s="7" t="n">
        <v>0.184675362687939</v>
      </c>
      <c r="Y490" s="7" t="n">
        <v>0.20275294246933</v>
      </c>
      <c r="Z490" s="7" t="n">
        <v>0.449368284823005</v>
      </c>
      <c r="AA490" s="7" t="n">
        <v>0.349215142212117</v>
      </c>
      <c r="AB490" s="7" t="n">
        <v>0.282581968022112</v>
      </c>
    </row>
    <row r="491" customFormat="false" ht="15" hidden="false" customHeight="false" outlineLevel="0" collapsed="false">
      <c r="A491" s="4" t="s">
        <v>415</v>
      </c>
      <c r="B491" s="4" t="s">
        <v>416</v>
      </c>
      <c r="C491" s="4" t="s">
        <v>146</v>
      </c>
      <c r="D491" s="4" t="s">
        <v>47</v>
      </c>
      <c r="E491" s="4" t="s">
        <v>91</v>
      </c>
      <c r="F491" s="7" t="n">
        <v>28526.9569611447</v>
      </c>
      <c r="G491" s="7" t="n">
        <v>47902.38722747</v>
      </c>
      <c r="H491" s="7" t="n">
        <v>46994.4788658582</v>
      </c>
      <c r="I491" s="7" t="n">
        <v>76039.2459978978</v>
      </c>
      <c r="J491" s="7" t="n">
        <v>70318.7304205409</v>
      </c>
      <c r="K491" s="7" t="n">
        <v>86059.7630018465</v>
      </c>
      <c r="L491" s="7" t="n">
        <v>78921.650050781</v>
      </c>
      <c r="M491" s="7" t="n">
        <v>67602.9513670192</v>
      </c>
      <c r="N491" s="7" t="n">
        <v>50064.4784335934</v>
      </c>
      <c r="O491" s="7" t="n">
        <v>23547.2033869848</v>
      </c>
      <c r="P491" s="7" t="n">
        <v>31752.2163750497</v>
      </c>
      <c r="Q491" s="7" t="n">
        <v>47832.6935114783</v>
      </c>
      <c r="R491" s="7" t="n">
        <v>42303.0437309282</v>
      </c>
      <c r="S491" s="7" t="n">
        <v>49616.633456657</v>
      </c>
      <c r="T491" s="7" t="n">
        <v>34415.3910620201</v>
      </c>
      <c r="U491" s="7" t="n">
        <v>38956.4671870436</v>
      </c>
      <c r="V491" s="7" t="n">
        <v>169066.922506486</v>
      </c>
      <c r="W491" s="7" t="n">
        <v>4151.5602144671</v>
      </c>
      <c r="X491" s="7" t="n">
        <v>2880.48213217513</v>
      </c>
      <c r="Y491" s="7" t="n">
        <v>143.75165676923</v>
      </c>
      <c r="Z491" s="7" t="n">
        <v>0</v>
      </c>
      <c r="AA491" s="7" t="n">
        <v>89627.2860503256</v>
      </c>
      <c r="AB491" s="7" t="n">
        <v>33486.1707639891</v>
      </c>
    </row>
    <row r="492" customFormat="false" ht="15" hidden="false" customHeight="false" outlineLevel="0" collapsed="false">
      <c r="A492" s="4" t="s">
        <v>415</v>
      </c>
      <c r="B492" s="4" t="s">
        <v>416</v>
      </c>
      <c r="C492" s="4" t="s">
        <v>146</v>
      </c>
      <c r="D492" s="4" t="s">
        <v>47</v>
      </c>
      <c r="E492" s="4" t="s">
        <v>92</v>
      </c>
      <c r="F492" s="7" t="n">
        <v>2822.16708595294</v>
      </c>
      <c r="G492" s="7" t="n">
        <v>5434.12341667521</v>
      </c>
      <c r="H492" s="7" t="n">
        <v>5438.30156059768</v>
      </c>
      <c r="I492" s="7" t="n">
        <v>7554.59168835968</v>
      </c>
      <c r="J492" s="7" t="n">
        <v>5045.79962388666</v>
      </c>
      <c r="K492" s="7" t="n">
        <v>6013.44539888664</v>
      </c>
      <c r="L492" s="7" t="n">
        <v>5162.11976094416</v>
      </c>
      <c r="M492" s="7" t="n">
        <v>4769.84587326711</v>
      </c>
      <c r="N492" s="7" t="n">
        <v>7145.50612620571</v>
      </c>
      <c r="O492" s="7" t="n">
        <v>7115.02767727129</v>
      </c>
      <c r="P492" s="7" t="n">
        <v>7231.24727275521</v>
      </c>
      <c r="Q492" s="7" t="n">
        <v>11022.9948185849</v>
      </c>
      <c r="R492" s="7" t="n">
        <v>9815.49088324665</v>
      </c>
      <c r="S492" s="7" t="n">
        <v>15089.4564474074</v>
      </c>
      <c r="T492" s="7" t="n">
        <v>9748.50342958712</v>
      </c>
      <c r="U492" s="7" t="n">
        <v>12050.9145325705</v>
      </c>
      <c r="V492" s="7" t="n">
        <v>10003.0559040372</v>
      </c>
      <c r="W492" s="7" t="n">
        <v>10101.0588867843</v>
      </c>
      <c r="X492" s="7" t="n">
        <v>9816.92229478855</v>
      </c>
      <c r="Y492" s="7" t="n">
        <v>11998.7641292346</v>
      </c>
      <c r="Z492" s="7" t="n">
        <v>14629.6872612582</v>
      </c>
      <c r="AA492" s="7" t="n">
        <v>19393.3315326416</v>
      </c>
      <c r="AB492" s="7" t="n">
        <v>16121.8115527869</v>
      </c>
    </row>
    <row r="493" customFormat="false" ht="15" hidden="false" customHeight="false" outlineLevel="0" collapsed="false">
      <c r="A493" s="4" t="s">
        <v>415</v>
      </c>
      <c r="B493" s="4" t="s">
        <v>416</v>
      </c>
      <c r="C493" s="4" t="s">
        <v>146</v>
      </c>
      <c r="D493" s="4" t="s">
        <v>47</v>
      </c>
      <c r="E493" s="4" t="s">
        <v>93</v>
      </c>
      <c r="F493" s="7" t="n">
        <v>337.934727249521</v>
      </c>
      <c r="G493" s="7" t="n">
        <v>544.021128307223</v>
      </c>
      <c r="H493" s="7" t="n">
        <v>629.436582590101</v>
      </c>
      <c r="I493" s="7" t="n">
        <v>842.545134553171</v>
      </c>
      <c r="J493" s="7" t="n">
        <v>914.621080297808</v>
      </c>
      <c r="K493" s="7" t="n">
        <v>1146.9728262571</v>
      </c>
      <c r="L493" s="7" t="n">
        <v>1070.16522931984</v>
      </c>
      <c r="M493" s="7" t="n">
        <v>717.439513266131</v>
      </c>
      <c r="N493" s="7" t="n">
        <v>1349.65863904592</v>
      </c>
      <c r="O493" s="7" t="n">
        <v>1655.09277114876</v>
      </c>
      <c r="P493" s="7" t="n">
        <v>1291.7666378449</v>
      </c>
      <c r="Q493" s="7" t="n">
        <v>1608.19164425179</v>
      </c>
      <c r="R493" s="7" t="n">
        <v>1045.76412337338</v>
      </c>
      <c r="S493" s="7" t="n">
        <v>552.922568762062</v>
      </c>
      <c r="T493" s="7" t="n">
        <v>0</v>
      </c>
      <c r="U493" s="7" t="n">
        <v>0</v>
      </c>
      <c r="V493" s="7" t="n">
        <v>0</v>
      </c>
      <c r="W493" s="7" t="n">
        <v>0</v>
      </c>
      <c r="X493" s="7" t="n">
        <v>0</v>
      </c>
      <c r="Y493" s="7" t="n">
        <v>0</v>
      </c>
      <c r="Z493" s="7" t="n">
        <v>0</v>
      </c>
      <c r="AA493" s="7" t="n">
        <v>0</v>
      </c>
      <c r="AB493" s="7" t="n">
        <v>0</v>
      </c>
    </row>
    <row r="494" customFormat="false" ht="15" hidden="false" customHeight="false" outlineLevel="0" collapsed="false">
      <c r="A494" s="4" t="s">
        <v>417</v>
      </c>
      <c r="B494" s="4" t="s">
        <v>418</v>
      </c>
      <c r="C494" s="4" t="s">
        <v>99</v>
      </c>
      <c r="D494" s="4" t="s">
        <v>43</v>
      </c>
      <c r="E494" s="4" t="s">
        <v>91</v>
      </c>
      <c r="F494" s="7" t="n">
        <v>25.3120914306641</v>
      </c>
      <c r="G494" s="7" t="n">
        <v>12.0287927003389</v>
      </c>
      <c r="H494" s="7" t="n">
        <v>8.88306050415039</v>
      </c>
      <c r="I494" s="7" t="n">
        <v>5.54546782836914</v>
      </c>
      <c r="J494" s="7" t="n">
        <v>5.74040729370117</v>
      </c>
      <c r="K494" s="7" t="n">
        <v>2.17671075658083</v>
      </c>
      <c r="L494" s="7" t="n">
        <v>7.34877158203125</v>
      </c>
      <c r="M494" s="7" t="n">
        <v>19.9089420051934</v>
      </c>
      <c r="N494" s="7" t="n">
        <v>15.2783214702513</v>
      </c>
      <c r="O494" s="7" t="n">
        <v>5.66250406772676</v>
      </c>
      <c r="P494" s="7" t="n">
        <v>12.8499166945386</v>
      </c>
      <c r="Q494" s="7" t="n">
        <v>8.85905926435479</v>
      </c>
      <c r="R494" s="7" t="n">
        <v>0.848779370913787</v>
      </c>
      <c r="S494" s="7" t="n">
        <v>0.0564547417248521</v>
      </c>
      <c r="T494" s="7" t="n">
        <v>0</v>
      </c>
      <c r="U494" s="7" t="n">
        <v>0</v>
      </c>
      <c r="V494" s="7" t="n">
        <v>0.00513998152673784</v>
      </c>
      <c r="W494" s="7" t="n">
        <v>0</v>
      </c>
      <c r="X494" s="7" t="n">
        <v>0.039962408037965</v>
      </c>
      <c r="Y494" s="7" t="n">
        <v>0.0259365557716884</v>
      </c>
      <c r="Z494" s="7" t="n">
        <v>0</v>
      </c>
      <c r="AA494" s="7" t="n">
        <v>0</v>
      </c>
      <c r="AB494" s="7" t="n">
        <v>0</v>
      </c>
    </row>
    <row r="495" customFormat="false" ht="15" hidden="false" customHeight="false" outlineLevel="0" collapsed="false">
      <c r="A495" s="4" t="s">
        <v>417</v>
      </c>
      <c r="B495" s="4" t="s">
        <v>418</v>
      </c>
      <c r="C495" s="4" t="s">
        <v>99</v>
      </c>
      <c r="D495" s="4" t="s">
        <v>43</v>
      </c>
      <c r="E495" s="4" t="s">
        <v>92</v>
      </c>
      <c r="F495" s="7" t="n">
        <v>16.3670571481742</v>
      </c>
      <c r="G495" s="7" t="n">
        <v>11.1254465491919</v>
      </c>
      <c r="H495" s="7" t="n">
        <v>6.1563401184082</v>
      </c>
      <c r="I495" s="7" t="n">
        <v>6.11900422973633</v>
      </c>
      <c r="J495" s="7" t="n">
        <v>7.05278697272806</v>
      </c>
      <c r="K495" s="7" t="n">
        <v>5.58105353785276</v>
      </c>
      <c r="L495" s="7" t="n">
        <v>0</v>
      </c>
      <c r="M495" s="7" t="n">
        <v>0</v>
      </c>
      <c r="N495" s="7" t="n">
        <v>0</v>
      </c>
      <c r="O495" s="7" t="n">
        <v>0</v>
      </c>
      <c r="P495" s="7" t="n">
        <v>0</v>
      </c>
      <c r="Q495" s="7" t="n">
        <v>0.83864193494645</v>
      </c>
      <c r="R495" s="7" t="n">
        <v>0.108420942023</v>
      </c>
      <c r="S495" s="7" t="n">
        <v>0.0623150185567887</v>
      </c>
      <c r="T495" s="7" t="n">
        <v>0</v>
      </c>
      <c r="U495" s="7" t="n">
        <v>0</v>
      </c>
      <c r="V495" s="7" t="n">
        <v>0.0545355120730514</v>
      </c>
      <c r="W495" s="7" t="n">
        <v>0</v>
      </c>
      <c r="X495" s="7" t="n">
        <v>0.0192622323307703</v>
      </c>
      <c r="Y495" s="7" t="n">
        <v>0.0349730337460318</v>
      </c>
      <c r="Z495" s="7" t="n">
        <v>0</v>
      </c>
      <c r="AA495" s="7" t="n">
        <v>0</v>
      </c>
      <c r="AB495" s="7" t="n">
        <v>0</v>
      </c>
    </row>
    <row r="496" customFormat="false" ht="15" hidden="false" customHeight="false" outlineLevel="0" collapsed="false">
      <c r="A496" s="4" t="s">
        <v>417</v>
      </c>
      <c r="B496" s="4" t="s">
        <v>418</v>
      </c>
      <c r="C496" s="4" t="s">
        <v>99</v>
      </c>
      <c r="D496" s="4" t="s">
        <v>43</v>
      </c>
      <c r="E496" s="4" t="s">
        <v>93</v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7" t="n">
        <v>0</v>
      </c>
      <c r="L496" s="7" t="n">
        <v>0</v>
      </c>
      <c r="M496" s="7" t="n">
        <v>1.08298757646444</v>
      </c>
      <c r="N496" s="7" t="n">
        <v>2.82765616036398</v>
      </c>
      <c r="O496" s="7" t="n">
        <v>0.555494424704877</v>
      </c>
      <c r="P496" s="7" t="n">
        <v>0.234722654228274</v>
      </c>
      <c r="Q496" s="7" t="n">
        <v>1.55936973575736</v>
      </c>
      <c r="R496" s="7" t="n">
        <v>0.00451000810813505</v>
      </c>
      <c r="S496" s="7" t="n">
        <v>0.000339431612890484</v>
      </c>
      <c r="T496" s="7" t="n">
        <v>0</v>
      </c>
      <c r="U496" s="7" t="n">
        <v>0</v>
      </c>
      <c r="V496" s="7" t="n">
        <v>0.000340949271304508</v>
      </c>
      <c r="W496" s="7" t="n">
        <v>0</v>
      </c>
      <c r="X496" s="7" t="n">
        <v>0.000341411877358438</v>
      </c>
      <c r="Y496" s="7" t="n">
        <v>0.000557671224467269</v>
      </c>
      <c r="Z496" s="7" t="n">
        <v>0</v>
      </c>
      <c r="AA496" s="7" t="n">
        <v>0</v>
      </c>
      <c r="AB496" s="7" t="n">
        <v>0</v>
      </c>
    </row>
    <row r="497" customFormat="false" ht="15" hidden="false" customHeight="false" outlineLevel="0" collapsed="false">
      <c r="A497" s="4" t="s">
        <v>419</v>
      </c>
      <c r="B497" s="4" t="s">
        <v>420</v>
      </c>
      <c r="C497" s="4" t="s">
        <v>99</v>
      </c>
      <c r="D497" s="4" t="s">
        <v>43</v>
      </c>
      <c r="E497" s="4" t="s">
        <v>91</v>
      </c>
      <c r="F497" s="7" t="n">
        <v>40.0944766701373</v>
      </c>
      <c r="G497" s="7" t="n">
        <v>42.588986907959</v>
      </c>
      <c r="H497" s="7" t="n">
        <v>18.3104241462259</v>
      </c>
      <c r="I497" s="7" t="n">
        <v>11.7039368762207</v>
      </c>
      <c r="J497" s="7" t="n">
        <v>2.75008223876953</v>
      </c>
      <c r="K497" s="7" t="n">
        <v>0.808200366210938</v>
      </c>
      <c r="L497" s="7" t="n">
        <v>0.675081408691406</v>
      </c>
      <c r="M497" s="7" t="n">
        <v>2.69802157592774</v>
      </c>
      <c r="N497" s="7" t="n">
        <v>0.503467757426224</v>
      </c>
      <c r="O497" s="7" t="n">
        <v>0.714962464127505</v>
      </c>
      <c r="P497" s="7" t="n">
        <v>1.10016888427734</v>
      </c>
      <c r="Q497" s="7" t="n">
        <v>1.29961173706055</v>
      </c>
      <c r="R497" s="7" t="n">
        <v>0.250169250488281</v>
      </c>
      <c r="S497" s="7" t="n">
        <v>0.306670660400391</v>
      </c>
      <c r="T497" s="7" t="n">
        <v>0</v>
      </c>
      <c r="U497" s="7" t="n">
        <v>0</v>
      </c>
      <c r="V497" s="7" t="n">
        <v>0</v>
      </c>
      <c r="W497" s="7" t="n">
        <v>0</v>
      </c>
      <c r="X497" s="7" t="n">
        <v>0</v>
      </c>
      <c r="Y497" s="7" t="n">
        <v>0</v>
      </c>
      <c r="Z497" s="7" t="n">
        <v>0</v>
      </c>
      <c r="AA497" s="7" t="n">
        <v>0</v>
      </c>
      <c r="AB497" s="7" t="n">
        <v>0</v>
      </c>
    </row>
    <row r="498" customFormat="false" ht="15" hidden="false" customHeight="false" outlineLevel="0" collapsed="false">
      <c r="A498" s="4" t="s">
        <v>419</v>
      </c>
      <c r="B498" s="4" t="s">
        <v>420</v>
      </c>
      <c r="C498" s="4" t="s">
        <v>99</v>
      </c>
      <c r="D498" s="4" t="s">
        <v>43</v>
      </c>
      <c r="E498" s="4" t="s">
        <v>92</v>
      </c>
      <c r="F498" s="7" t="n">
        <v>0</v>
      </c>
      <c r="G498" s="7" t="n">
        <v>0</v>
      </c>
      <c r="H498" s="7" t="n">
        <v>0</v>
      </c>
      <c r="I498" s="7" t="n">
        <v>0</v>
      </c>
      <c r="J498" s="7" t="n">
        <v>0</v>
      </c>
      <c r="K498" s="7" t="n">
        <v>0</v>
      </c>
      <c r="L498" s="7" t="n">
        <v>0</v>
      </c>
      <c r="M498" s="7" t="n">
        <v>0</v>
      </c>
      <c r="N498" s="7" t="n">
        <v>4.40497623061089</v>
      </c>
      <c r="O498" s="7" t="n">
        <v>3.01708678514007</v>
      </c>
      <c r="P498" s="7" t="n">
        <v>12.5041656677246</v>
      </c>
      <c r="Q498" s="7" t="n">
        <v>2.79490409545899</v>
      </c>
      <c r="R498" s="7" t="n">
        <v>0.183954486083984</v>
      </c>
      <c r="S498" s="7" t="n">
        <v>0</v>
      </c>
      <c r="T498" s="7" t="n">
        <v>0</v>
      </c>
      <c r="U498" s="7" t="n">
        <v>0</v>
      </c>
      <c r="V498" s="7" t="n">
        <v>0</v>
      </c>
      <c r="W498" s="7" t="n">
        <v>0</v>
      </c>
      <c r="X498" s="7" t="n">
        <v>0</v>
      </c>
      <c r="Y498" s="7" t="n">
        <v>0</v>
      </c>
      <c r="Z498" s="7" t="n">
        <v>0</v>
      </c>
      <c r="AA498" s="7" t="n">
        <v>0</v>
      </c>
      <c r="AB498" s="7" t="n">
        <v>0</v>
      </c>
    </row>
    <row r="499" customFormat="false" ht="15" hidden="false" customHeight="false" outlineLevel="0" collapsed="false">
      <c r="A499" s="4" t="s">
        <v>419</v>
      </c>
      <c r="B499" s="4" t="s">
        <v>420</v>
      </c>
      <c r="C499" s="4" t="s">
        <v>99</v>
      </c>
      <c r="D499" s="4" t="s">
        <v>43</v>
      </c>
      <c r="E499" s="4" t="s">
        <v>93</v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</v>
      </c>
      <c r="K499" s="7" t="n">
        <v>0</v>
      </c>
      <c r="L499" s="7" t="n">
        <v>0</v>
      </c>
      <c r="M499" s="7" t="n">
        <v>0</v>
      </c>
      <c r="N499" s="7" t="n">
        <v>0</v>
      </c>
      <c r="O499" s="7" t="n">
        <v>0</v>
      </c>
      <c r="P499" s="7" t="n">
        <v>0</v>
      </c>
      <c r="Q499" s="7" t="n">
        <v>0</v>
      </c>
      <c r="R499" s="7" t="n">
        <v>0</v>
      </c>
      <c r="S499" s="7" t="n">
        <v>0</v>
      </c>
      <c r="T499" s="7" t="n">
        <v>0</v>
      </c>
      <c r="U499" s="7" t="n">
        <v>0</v>
      </c>
      <c r="V499" s="7" t="n">
        <v>0</v>
      </c>
      <c r="W499" s="7" t="n">
        <v>0</v>
      </c>
      <c r="X499" s="7" t="n">
        <v>0</v>
      </c>
      <c r="Y499" s="7" t="n">
        <v>0</v>
      </c>
      <c r="Z499" s="7" t="n">
        <v>0</v>
      </c>
      <c r="AA499" s="7" t="n">
        <v>0</v>
      </c>
      <c r="AB499" s="7" t="n">
        <v>0</v>
      </c>
    </row>
    <row r="500" customFormat="false" ht="15" hidden="false" customHeight="false" outlineLevel="0" collapsed="false">
      <c r="A500" s="4" t="s">
        <v>421</v>
      </c>
      <c r="B500" s="4" t="s">
        <v>422</v>
      </c>
      <c r="C500" s="4" t="s">
        <v>146</v>
      </c>
      <c r="D500" s="4" t="s">
        <v>81</v>
      </c>
      <c r="E500" s="4" t="s">
        <v>91</v>
      </c>
      <c r="F500" s="7" t="n">
        <v>41.9695739976388</v>
      </c>
      <c r="G500" s="7" t="n">
        <v>75.0487696661975</v>
      </c>
      <c r="H500" s="7" t="n">
        <v>50.4831769867614</v>
      </c>
      <c r="I500" s="7" t="n">
        <v>78.8799566155886</v>
      </c>
      <c r="J500" s="7" t="n">
        <v>120.194284601003</v>
      </c>
      <c r="K500" s="7" t="n">
        <v>178.822927313113</v>
      </c>
      <c r="L500" s="7" t="n">
        <v>158.686381979095</v>
      </c>
      <c r="M500" s="7" t="n">
        <v>98.3643425899882</v>
      </c>
      <c r="N500" s="7" t="n">
        <v>281.384972166848</v>
      </c>
      <c r="O500" s="7" t="n">
        <v>140.726789886044</v>
      </c>
      <c r="P500" s="7" t="n">
        <v>178.66619579688</v>
      </c>
      <c r="Q500" s="7" t="n">
        <v>265.879462039505</v>
      </c>
      <c r="R500" s="7" t="n">
        <v>72.1875339706324</v>
      </c>
      <c r="S500" s="7" t="n">
        <v>214.382913163973</v>
      </c>
      <c r="T500" s="7" t="n">
        <v>137.957414796736</v>
      </c>
      <c r="U500" s="7" t="n">
        <v>170.141130105082</v>
      </c>
      <c r="V500" s="7" t="n">
        <v>167.935466523012</v>
      </c>
      <c r="W500" s="7" t="n">
        <v>95.3598713557518</v>
      </c>
      <c r="X500" s="7" t="n">
        <v>121.978706917419</v>
      </c>
      <c r="Y500" s="7" t="n">
        <v>112.884365716269</v>
      </c>
      <c r="Z500" s="7" t="n">
        <v>133.011798174077</v>
      </c>
      <c r="AA500" s="7" t="n">
        <v>68.6219472886179</v>
      </c>
      <c r="AB500" s="7" t="n">
        <v>45.3494668317611</v>
      </c>
    </row>
    <row r="501" customFormat="false" ht="15" hidden="false" customHeight="false" outlineLevel="0" collapsed="false">
      <c r="A501" s="4" t="s">
        <v>421</v>
      </c>
      <c r="B501" s="4" t="s">
        <v>422</v>
      </c>
      <c r="C501" s="4" t="s">
        <v>146</v>
      </c>
      <c r="D501" s="4" t="s">
        <v>81</v>
      </c>
      <c r="E501" s="4" t="s">
        <v>92</v>
      </c>
      <c r="F501" s="7" t="n">
        <v>45.8311968342584</v>
      </c>
      <c r="G501" s="7" t="n">
        <v>115.591967255836</v>
      </c>
      <c r="H501" s="7" t="n">
        <v>39.2704679688385</v>
      </c>
      <c r="I501" s="7" t="n">
        <v>112.082236155288</v>
      </c>
      <c r="J501" s="7" t="n">
        <v>1.5241430096027</v>
      </c>
      <c r="K501" s="7" t="n">
        <v>0</v>
      </c>
      <c r="L501" s="7" t="n">
        <v>0</v>
      </c>
      <c r="M501" s="7" t="n">
        <v>0.635507186000815</v>
      </c>
      <c r="N501" s="7" t="n">
        <v>10.4535365937074</v>
      </c>
      <c r="O501" s="7" t="n">
        <v>0</v>
      </c>
      <c r="P501" s="7" t="n">
        <v>0</v>
      </c>
      <c r="Q501" s="7" t="n">
        <v>11.4563407296245</v>
      </c>
      <c r="R501" s="7" t="n">
        <v>2.24600355083756</v>
      </c>
      <c r="S501" s="7" t="n">
        <v>9.04376919095473</v>
      </c>
      <c r="T501" s="7" t="n">
        <v>3.41122721467131</v>
      </c>
      <c r="U501" s="7" t="n">
        <v>12.1743237630635</v>
      </c>
      <c r="V501" s="7" t="n">
        <v>22.5954822294536</v>
      </c>
      <c r="W501" s="7" t="n">
        <v>26.0357505725522</v>
      </c>
      <c r="X501" s="7" t="n">
        <v>15.0400376341048</v>
      </c>
      <c r="Y501" s="7" t="n">
        <v>35.0267868587927</v>
      </c>
      <c r="Z501" s="7" t="n">
        <v>45.1883770663534</v>
      </c>
      <c r="AA501" s="7" t="n">
        <v>26.1255654044686</v>
      </c>
      <c r="AB501" s="7" t="n">
        <v>16.0697824846213</v>
      </c>
    </row>
    <row r="502" customFormat="false" ht="15" hidden="false" customHeight="false" outlineLevel="0" collapsed="false">
      <c r="A502" s="4" t="s">
        <v>421</v>
      </c>
      <c r="B502" s="4" t="s">
        <v>422</v>
      </c>
      <c r="C502" s="4" t="s">
        <v>146</v>
      </c>
      <c r="D502" s="4" t="s">
        <v>81</v>
      </c>
      <c r="E502" s="4" t="s">
        <v>93</v>
      </c>
      <c r="F502" s="7" t="n">
        <v>0</v>
      </c>
      <c r="G502" s="7" t="n">
        <v>0</v>
      </c>
      <c r="H502" s="7" t="n">
        <v>0</v>
      </c>
      <c r="I502" s="7" t="n">
        <v>0</v>
      </c>
      <c r="J502" s="7" t="n">
        <v>0</v>
      </c>
      <c r="K502" s="7" t="n">
        <v>0</v>
      </c>
      <c r="L502" s="7" t="n">
        <v>0</v>
      </c>
      <c r="M502" s="7" t="n">
        <v>0</v>
      </c>
      <c r="N502" s="7" t="n">
        <v>0</v>
      </c>
      <c r="O502" s="7" t="n">
        <v>0</v>
      </c>
      <c r="P502" s="7" t="n">
        <v>0</v>
      </c>
      <c r="Q502" s="7" t="n">
        <v>0</v>
      </c>
      <c r="R502" s="7" t="n">
        <v>0</v>
      </c>
      <c r="S502" s="7" t="n">
        <v>0</v>
      </c>
      <c r="T502" s="7" t="n">
        <v>0</v>
      </c>
      <c r="U502" s="7" t="n">
        <v>0</v>
      </c>
      <c r="V502" s="7" t="n">
        <v>0</v>
      </c>
      <c r="W502" s="7" t="n">
        <v>0</v>
      </c>
      <c r="X502" s="7" t="n">
        <v>0</v>
      </c>
      <c r="Y502" s="7" t="n">
        <v>0</v>
      </c>
      <c r="Z502" s="7" t="n">
        <v>0</v>
      </c>
      <c r="AA502" s="7" t="n">
        <v>0</v>
      </c>
      <c r="AB502" s="7" t="n">
        <v>0</v>
      </c>
    </row>
    <row r="503" customFormat="false" ht="15" hidden="false" customHeight="false" outlineLevel="0" collapsed="false">
      <c r="A503" s="4" t="s">
        <v>423</v>
      </c>
      <c r="B503" s="4" t="s">
        <v>424</v>
      </c>
      <c r="C503" s="4" t="s">
        <v>107</v>
      </c>
      <c r="D503" s="4" t="s">
        <v>79</v>
      </c>
      <c r="E503" s="4" t="s">
        <v>91</v>
      </c>
      <c r="F503" s="7" t="n">
        <v>9.6103299621582</v>
      </c>
      <c r="G503" s="7" t="n">
        <v>2.3457350769043</v>
      </c>
      <c r="H503" s="7" t="n">
        <v>0</v>
      </c>
      <c r="I503" s="7" t="n">
        <v>24.1991213905542</v>
      </c>
      <c r="J503" s="7" t="n">
        <v>28.6330106960934</v>
      </c>
      <c r="K503" s="7" t="n">
        <v>37.8463377057472</v>
      </c>
      <c r="L503" s="7" t="n">
        <v>34.0727211094507</v>
      </c>
      <c r="M503" s="7" t="n">
        <v>32.1230034505291</v>
      </c>
      <c r="N503" s="7" t="n">
        <v>29.0098356997054</v>
      </c>
      <c r="O503" s="7" t="n">
        <v>64.7203938827161</v>
      </c>
      <c r="P503" s="7" t="n">
        <v>16.5778041228548</v>
      </c>
      <c r="Q503" s="7" t="n">
        <v>29.1714913654067</v>
      </c>
      <c r="R503" s="7" t="n">
        <v>22.5826968430162</v>
      </c>
      <c r="S503" s="7" t="n">
        <v>34.7121638521781</v>
      </c>
      <c r="T503" s="7" t="n">
        <v>8.32430191054598</v>
      </c>
      <c r="U503" s="7" t="n">
        <v>17.312870856552</v>
      </c>
      <c r="V503" s="7" t="n">
        <v>19.6585632891697</v>
      </c>
      <c r="W503" s="7" t="n">
        <v>5.78107170017035</v>
      </c>
      <c r="X503" s="7" t="n">
        <v>17.2965096686684</v>
      </c>
      <c r="Y503" s="7" t="n">
        <v>21.5193253216245</v>
      </c>
      <c r="Z503" s="7" t="n">
        <v>13.2267201717718</v>
      </c>
      <c r="AA503" s="7" t="n">
        <v>8.86994430076259</v>
      </c>
      <c r="AB503" s="7" t="n">
        <v>22.1373125537007</v>
      </c>
    </row>
    <row r="504" customFormat="false" ht="15" hidden="false" customHeight="false" outlineLevel="0" collapsed="false">
      <c r="A504" s="4" t="s">
        <v>423</v>
      </c>
      <c r="B504" s="4" t="s">
        <v>424</v>
      </c>
      <c r="C504" s="4" t="s">
        <v>107</v>
      </c>
      <c r="D504" s="4" t="s">
        <v>79</v>
      </c>
      <c r="E504" s="4" t="s">
        <v>92</v>
      </c>
      <c r="F504" s="7" t="n">
        <v>83.197644927428</v>
      </c>
      <c r="G504" s="7" t="n">
        <v>21.7950901916504</v>
      </c>
      <c r="H504" s="7" t="n">
        <v>28.0901761440143</v>
      </c>
      <c r="I504" s="7" t="n">
        <v>60.2264993669518</v>
      </c>
      <c r="J504" s="7" t="n">
        <v>12.0162115146</v>
      </c>
      <c r="K504" s="7" t="n">
        <v>16.8111739354044</v>
      </c>
      <c r="L504" s="7" t="n">
        <v>15.4299608043485</v>
      </c>
      <c r="M504" s="7" t="n">
        <v>13.6190015697202</v>
      </c>
      <c r="N504" s="7" t="n">
        <v>11.486748188258</v>
      </c>
      <c r="O504" s="7" t="n">
        <v>24.5934408901135</v>
      </c>
      <c r="P504" s="7" t="n">
        <v>7.02544270942061</v>
      </c>
      <c r="Q504" s="7" t="n">
        <v>10.2580520794175</v>
      </c>
      <c r="R504" s="7" t="n">
        <v>7.09004492417894</v>
      </c>
      <c r="S504" s="7" t="n">
        <v>8.12371599401333</v>
      </c>
      <c r="T504" s="7" t="n">
        <v>2.11719776596769</v>
      </c>
      <c r="U504" s="7" t="n">
        <v>14.1729027213288</v>
      </c>
      <c r="V504" s="7" t="n">
        <v>15.7268811890311</v>
      </c>
      <c r="W504" s="7" t="n">
        <v>9.65404521586769</v>
      </c>
      <c r="X504" s="7" t="n">
        <v>7.89441880423198</v>
      </c>
      <c r="Y504" s="7" t="n">
        <v>8.97797366076392</v>
      </c>
      <c r="Z504" s="7" t="n">
        <v>5.53370855137271</v>
      </c>
      <c r="AA504" s="7" t="n">
        <v>3.23280695045811</v>
      </c>
      <c r="AB504" s="7" t="n">
        <v>8.88916977662153</v>
      </c>
    </row>
    <row r="505" customFormat="false" ht="15" hidden="false" customHeight="false" outlineLevel="0" collapsed="false">
      <c r="A505" s="4" t="s">
        <v>423</v>
      </c>
      <c r="B505" s="4" t="s">
        <v>424</v>
      </c>
      <c r="C505" s="4" t="s">
        <v>107</v>
      </c>
      <c r="D505" s="4" t="s">
        <v>79</v>
      </c>
      <c r="E505" s="4" t="s">
        <v>93</v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0</v>
      </c>
      <c r="M505" s="7" t="n">
        <v>0</v>
      </c>
      <c r="N505" s="7" t="n">
        <v>0</v>
      </c>
      <c r="O505" s="7" t="n">
        <v>0</v>
      </c>
      <c r="P505" s="7" t="n">
        <v>0</v>
      </c>
      <c r="Q505" s="7" t="n">
        <v>0</v>
      </c>
      <c r="R505" s="7" t="n">
        <v>0</v>
      </c>
      <c r="S505" s="7" t="n">
        <v>0</v>
      </c>
      <c r="T505" s="7" t="n">
        <v>0</v>
      </c>
      <c r="U505" s="7" t="n">
        <v>0</v>
      </c>
      <c r="V505" s="7" t="n">
        <v>0</v>
      </c>
      <c r="W505" s="7" t="n">
        <v>0</v>
      </c>
      <c r="X505" s="7" t="n">
        <v>0</v>
      </c>
      <c r="Y505" s="7" t="n">
        <v>0</v>
      </c>
      <c r="Z505" s="7" t="n">
        <v>0</v>
      </c>
      <c r="AA505" s="7" t="n">
        <v>0</v>
      </c>
      <c r="AB505" s="7" t="n">
        <v>0</v>
      </c>
    </row>
    <row r="506" customFormat="false" ht="15" hidden="false" customHeight="false" outlineLevel="0" collapsed="false">
      <c r="A506" s="4" t="s">
        <v>425</v>
      </c>
      <c r="B506" s="4" t="s">
        <v>426</v>
      </c>
      <c r="C506" s="4" t="s">
        <v>101</v>
      </c>
      <c r="D506" s="4" t="s">
        <v>55</v>
      </c>
      <c r="E506" s="4" t="s">
        <v>91</v>
      </c>
      <c r="F506" s="7" t="n">
        <v>18.3285232923782</v>
      </c>
      <c r="G506" s="7" t="n">
        <v>35.388594165039</v>
      </c>
      <c r="H506" s="7" t="n">
        <v>33.5201093358439</v>
      </c>
      <c r="I506" s="7" t="n">
        <v>9.37319373779297</v>
      </c>
      <c r="J506" s="7" t="n">
        <v>44.5014652616622</v>
      </c>
      <c r="K506" s="7" t="n">
        <v>16.4352348027602</v>
      </c>
      <c r="L506" s="7" t="n">
        <v>32.4256640859231</v>
      </c>
      <c r="M506" s="7" t="n">
        <v>31.4267639793948</v>
      </c>
      <c r="N506" s="7" t="n">
        <v>49.3998360788135</v>
      </c>
      <c r="O506" s="7" t="n">
        <v>21.7875671620088</v>
      </c>
      <c r="P506" s="7" t="n">
        <v>58.6229489644129</v>
      </c>
      <c r="Q506" s="7" t="n">
        <v>29.7004540666648</v>
      </c>
      <c r="R506" s="7" t="n">
        <v>27.4324984329284</v>
      </c>
      <c r="S506" s="7" t="n">
        <v>68.1150661866116</v>
      </c>
      <c r="T506" s="7" t="n">
        <v>53.5764364539954</v>
      </c>
      <c r="U506" s="7" t="n">
        <v>55.1199531857733</v>
      </c>
      <c r="V506" s="7" t="n">
        <v>110.253123853185</v>
      </c>
      <c r="W506" s="7" t="n">
        <v>20.259555680156</v>
      </c>
      <c r="X506" s="7" t="n">
        <v>28.4868387052392</v>
      </c>
      <c r="Y506" s="7" t="n">
        <v>1.76324315837018</v>
      </c>
      <c r="Z506" s="7" t="n">
        <v>1.18904893944236</v>
      </c>
      <c r="AA506" s="7" t="n">
        <v>1.31870597424754</v>
      </c>
      <c r="AB506" s="7" t="n">
        <v>2.70389291045868</v>
      </c>
    </row>
    <row r="507" customFormat="false" ht="15" hidden="false" customHeight="false" outlineLevel="0" collapsed="false">
      <c r="A507" s="4" t="s">
        <v>425</v>
      </c>
      <c r="B507" s="4" t="s">
        <v>426</v>
      </c>
      <c r="C507" s="4" t="s">
        <v>101</v>
      </c>
      <c r="D507" s="4" t="s">
        <v>55</v>
      </c>
      <c r="E507" s="4" t="s">
        <v>92</v>
      </c>
      <c r="F507" s="7" t="n">
        <v>9.20133236522683</v>
      </c>
      <c r="G507" s="7" t="n">
        <v>11.2564564980443</v>
      </c>
      <c r="H507" s="7" t="n">
        <v>29.5115842361993</v>
      </c>
      <c r="I507" s="7" t="n">
        <v>12.4709290118154</v>
      </c>
      <c r="J507" s="7" t="n">
        <v>0</v>
      </c>
      <c r="K507" s="7" t="n">
        <v>4.85134213961126</v>
      </c>
      <c r="L507" s="7" t="n">
        <v>0</v>
      </c>
      <c r="M507" s="7" t="n">
        <v>0.583093322280707</v>
      </c>
      <c r="N507" s="7" t="n">
        <v>0</v>
      </c>
      <c r="O507" s="7" t="n">
        <v>0</v>
      </c>
      <c r="P507" s="7" t="n">
        <v>26.3459879672476</v>
      </c>
      <c r="Q507" s="7" t="n">
        <v>8.32410624769313</v>
      </c>
      <c r="R507" s="7" t="n">
        <v>0</v>
      </c>
      <c r="S507" s="7" t="n">
        <v>0</v>
      </c>
      <c r="T507" s="7" t="n">
        <v>0</v>
      </c>
      <c r="U507" s="7" t="n">
        <v>0</v>
      </c>
      <c r="V507" s="7" t="n">
        <v>4.10194691389866</v>
      </c>
      <c r="W507" s="7" t="n">
        <v>1.60512237735751</v>
      </c>
      <c r="X507" s="7" t="n">
        <v>2.12081015776467</v>
      </c>
      <c r="Y507" s="7" t="n">
        <v>2.70303814714857</v>
      </c>
      <c r="Z507" s="7" t="n">
        <v>1.33590752352372</v>
      </c>
      <c r="AA507" s="7" t="n">
        <v>0.968957765154115</v>
      </c>
      <c r="AB507" s="7" t="n">
        <v>2.84399949284721</v>
      </c>
    </row>
    <row r="508" customFormat="false" ht="15" hidden="false" customHeight="false" outlineLevel="0" collapsed="false">
      <c r="A508" s="4" t="s">
        <v>425</v>
      </c>
      <c r="B508" s="4" t="s">
        <v>426</v>
      </c>
      <c r="C508" s="4" t="s">
        <v>101</v>
      </c>
      <c r="D508" s="4" t="s">
        <v>55</v>
      </c>
      <c r="E508" s="4" t="s">
        <v>93</v>
      </c>
      <c r="F508" s="7" t="n">
        <v>0.0511807498416952</v>
      </c>
      <c r="G508" s="7" t="n">
        <v>0.177986733156843</v>
      </c>
      <c r="H508" s="7" t="n">
        <v>2.08607069603756</v>
      </c>
      <c r="I508" s="7" t="n">
        <v>1.27611543398537</v>
      </c>
      <c r="J508" s="7" t="n">
        <v>0.232373556697191</v>
      </c>
      <c r="K508" s="7" t="n">
        <v>1.08517422036028</v>
      </c>
      <c r="L508" s="7" t="n">
        <v>0.634382959975357</v>
      </c>
      <c r="M508" s="7" t="n">
        <v>0.357553135336264</v>
      </c>
      <c r="N508" s="7" t="n">
        <v>0.879048130506037</v>
      </c>
      <c r="O508" s="7" t="n">
        <v>3.77730315551758</v>
      </c>
      <c r="P508" s="7" t="n">
        <v>1.6815911644016</v>
      </c>
      <c r="Q508" s="7" t="n">
        <v>0.272315392860063</v>
      </c>
      <c r="R508" s="7" t="n">
        <v>3.65215617362228</v>
      </c>
      <c r="S508" s="7" t="n">
        <v>0.161133007724302</v>
      </c>
      <c r="T508" s="7" t="n">
        <v>0.195205035908702</v>
      </c>
      <c r="U508" s="7" t="n">
        <v>0.13055069309465</v>
      </c>
      <c r="V508" s="7" t="n">
        <v>0.163530429851335</v>
      </c>
      <c r="W508" s="7" t="n">
        <v>0.115326526920836</v>
      </c>
      <c r="X508" s="7" t="n">
        <v>0.105436827722653</v>
      </c>
      <c r="Y508" s="7" t="n">
        <v>0.226828502830861</v>
      </c>
      <c r="Z508" s="7" t="n">
        <v>0.0727062079323632</v>
      </c>
      <c r="AA508" s="7" t="n">
        <v>0.186748247903033</v>
      </c>
      <c r="AB508" s="7" t="n">
        <v>0.080540909682393</v>
      </c>
    </row>
    <row r="509" customFormat="false" ht="15" hidden="false" customHeight="false" outlineLevel="0" collapsed="false">
      <c r="A509" s="4" t="s">
        <v>427</v>
      </c>
      <c r="B509" s="4" t="s">
        <v>428</v>
      </c>
      <c r="C509" s="4" t="s">
        <v>99</v>
      </c>
      <c r="D509" s="4" t="s">
        <v>43</v>
      </c>
      <c r="E509" s="4" t="s">
        <v>91</v>
      </c>
      <c r="F509" s="7" t="n">
        <v>1309.27900448082</v>
      </c>
      <c r="G509" s="7" t="n">
        <v>1087.48080971149</v>
      </c>
      <c r="H509" s="7" t="n">
        <v>359.234323539297</v>
      </c>
      <c r="I509" s="7" t="n">
        <v>414.675204837575</v>
      </c>
      <c r="J509" s="7" t="n">
        <v>223.905984627159</v>
      </c>
      <c r="K509" s="7" t="n">
        <v>244.131643406719</v>
      </c>
      <c r="L509" s="7" t="n">
        <v>277.487094338642</v>
      </c>
      <c r="M509" s="7" t="n">
        <v>215.988466546152</v>
      </c>
      <c r="N509" s="7" t="n">
        <v>253.44249277765</v>
      </c>
      <c r="O509" s="7" t="n">
        <v>162.784485864593</v>
      </c>
      <c r="P509" s="7" t="n">
        <v>612.399218102105</v>
      </c>
      <c r="Q509" s="7" t="n">
        <v>736.910763974418</v>
      </c>
      <c r="R509" s="7" t="n">
        <v>190.953405512504</v>
      </c>
      <c r="S509" s="7" t="n">
        <v>428.692140405704</v>
      </c>
      <c r="T509" s="7" t="n">
        <v>646.547539781949</v>
      </c>
      <c r="U509" s="7" t="n">
        <v>1010.89315785065</v>
      </c>
      <c r="V509" s="7" t="n">
        <v>2538.27934639938</v>
      </c>
      <c r="W509" s="7" t="n">
        <v>1825.59425995609</v>
      </c>
      <c r="X509" s="7" t="n">
        <v>1096.75030200249</v>
      </c>
      <c r="Y509" s="7" t="n">
        <v>325.398843417604</v>
      </c>
      <c r="Z509" s="7" t="n">
        <v>316.835969074886</v>
      </c>
      <c r="AA509" s="7" t="n">
        <v>251.491158404509</v>
      </c>
      <c r="AB509" s="7" t="n">
        <v>330.890494526886</v>
      </c>
    </row>
    <row r="510" customFormat="false" ht="15" hidden="false" customHeight="false" outlineLevel="0" collapsed="false">
      <c r="A510" s="4" t="s">
        <v>427</v>
      </c>
      <c r="B510" s="4" t="s">
        <v>428</v>
      </c>
      <c r="C510" s="4" t="s">
        <v>99</v>
      </c>
      <c r="D510" s="4" t="s">
        <v>43</v>
      </c>
      <c r="E510" s="4" t="s">
        <v>92</v>
      </c>
      <c r="F510" s="7" t="n">
        <v>64.1279360635154</v>
      </c>
      <c r="G510" s="7" t="n">
        <v>182.528742739208</v>
      </c>
      <c r="H510" s="7" t="n">
        <v>299.554816299137</v>
      </c>
      <c r="I510" s="7" t="n">
        <v>812.411968703799</v>
      </c>
      <c r="J510" s="7" t="n">
        <v>345.354248607986</v>
      </c>
      <c r="K510" s="7" t="n">
        <v>409.994415626234</v>
      </c>
      <c r="L510" s="7" t="n">
        <v>544.895709952212</v>
      </c>
      <c r="M510" s="7" t="n">
        <v>350.13780150498</v>
      </c>
      <c r="N510" s="7" t="n">
        <v>422.671044143883</v>
      </c>
      <c r="O510" s="7" t="n">
        <v>237.764199403792</v>
      </c>
      <c r="P510" s="7" t="n">
        <v>51.5077989253577</v>
      </c>
      <c r="Q510" s="7" t="n">
        <v>85.5776758438567</v>
      </c>
      <c r="R510" s="7" t="n">
        <v>176.647801083198</v>
      </c>
      <c r="S510" s="7" t="n">
        <v>274.604543745887</v>
      </c>
      <c r="T510" s="7" t="n">
        <v>323.563635429389</v>
      </c>
      <c r="U510" s="7" t="n">
        <v>347.823604971072</v>
      </c>
      <c r="V510" s="7" t="n">
        <v>295.57621213015</v>
      </c>
      <c r="W510" s="7" t="n">
        <v>46.0694147140298</v>
      </c>
      <c r="X510" s="7" t="n">
        <v>26.8343149072162</v>
      </c>
      <c r="Y510" s="7" t="n">
        <v>39.9063336478808</v>
      </c>
      <c r="Z510" s="7" t="n">
        <v>53.4318159979229</v>
      </c>
      <c r="AA510" s="7" t="n">
        <v>104.58596008253</v>
      </c>
      <c r="AB510" s="7" t="n">
        <v>65.1518182994905</v>
      </c>
    </row>
    <row r="511" customFormat="false" ht="15" hidden="false" customHeight="false" outlineLevel="0" collapsed="false">
      <c r="A511" s="4" t="s">
        <v>427</v>
      </c>
      <c r="B511" s="4" t="s">
        <v>428</v>
      </c>
      <c r="C511" s="4" t="s">
        <v>99</v>
      </c>
      <c r="D511" s="4" t="s">
        <v>43</v>
      </c>
      <c r="E511" s="4" t="s">
        <v>93</v>
      </c>
      <c r="F511" s="7" t="n">
        <v>192.501517534039</v>
      </c>
      <c r="G511" s="7" t="n">
        <v>295.56916370291</v>
      </c>
      <c r="H511" s="7" t="n">
        <v>200.174046512789</v>
      </c>
      <c r="I511" s="7" t="n">
        <v>560.321974873412</v>
      </c>
      <c r="J511" s="7" t="n">
        <v>249.99741967999</v>
      </c>
      <c r="K511" s="7" t="n">
        <v>271.77300640315</v>
      </c>
      <c r="L511" s="7" t="n">
        <v>364.368882333974</v>
      </c>
      <c r="M511" s="7" t="n">
        <v>293.185362342366</v>
      </c>
      <c r="N511" s="7" t="n">
        <v>436.529027126199</v>
      </c>
      <c r="O511" s="7" t="n">
        <v>350.165701098324</v>
      </c>
      <c r="P511" s="7" t="n">
        <v>454.499838943499</v>
      </c>
      <c r="Q511" s="7" t="n">
        <v>613.914454448346</v>
      </c>
      <c r="R511" s="7" t="n">
        <v>852.321735122665</v>
      </c>
      <c r="S511" s="7" t="n">
        <v>1960.77572242206</v>
      </c>
      <c r="T511" s="7" t="n">
        <v>1465.83185278479</v>
      </c>
      <c r="U511" s="7" t="n">
        <v>592.247763819403</v>
      </c>
      <c r="V511" s="7" t="n">
        <v>239.723174094909</v>
      </c>
      <c r="W511" s="7" t="n">
        <v>175.085623636689</v>
      </c>
      <c r="X511" s="7" t="n">
        <v>212.923252948401</v>
      </c>
      <c r="Y511" s="7" t="n">
        <v>341.05361122249</v>
      </c>
      <c r="Z511" s="7" t="n">
        <v>381.794892410509</v>
      </c>
      <c r="AA511" s="7" t="n">
        <v>318.895775377611</v>
      </c>
      <c r="AB511" s="7" t="n">
        <v>391.775880176075</v>
      </c>
    </row>
    <row r="512" customFormat="false" ht="15" hidden="false" customHeight="false" outlineLevel="0" collapsed="false">
      <c r="A512" s="4" t="s">
        <v>429</v>
      </c>
      <c r="B512" s="4" t="s">
        <v>430</v>
      </c>
      <c r="C512" s="4" t="s">
        <v>99</v>
      </c>
      <c r="D512" s="4" t="s">
        <v>47</v>
      </c>
      <c r="E512" s="4" t="s">
        <v>91</v>
      </c>
      <c r="F512" s="7" t="n">
        <v>119.446772004271</v>
      </c>
      <c r="G512" s="7" t="n">
        <v>51.8900292673601</v>
      </c>
      <c r="H512" s="7" t="n">
        <v>46.0064891467564</v>
      </c>
      <c r="I512" s="7" t="n">
        <v>70.6801355337643</v>
      </c>
      <c r="J512" s="7" t="n">
        <v>56.0524380893957</v>
      </c>
      <c r="K512" s="7" t="n">
        <v>43.4771879037318</v>
      </c>
      <c r="L512" s="7" t="n">
        <v>52.8429622098434</v>
      </c>
      <c r="M512" s="7" t="n">
        <v>61.0609649407055</v>
      </c>
      <c r="N512" s="7" t="n">
        <v>91.659975827035</v>
      </c>
      <c r="O512" s="7" t="n">
        <v>69.7925136495053</v>
      </c>
      <c r="P512" s="7" t="n">
        <v>74.852720341686</v>
      </c>
      <c r="Q512" s="7" t="n">
        <v>114.815683831987</v>
      </c>
      <c r="R512" s="7" t="n">
        <v>57.4795753623447</v>
      </c>
      <c r="S512" s="7" t="n">
        <v>61.826136229401</v>
      </c>
      <c r="T512" s="7" t="n">
        <v>36.4659120738988</v>
      </c>
      <c r="U512" s="7" t="n">
        <v>123.103684896113</v>
      </c>
      <c r="V512" s="7" t="n">
        <v>143.980519481623</v>
      </c>
      <c r="W512" s="7" t="n">
        <v>75.690739727296</v>
      </c>
      <c r="X512" s="7" t="n">
        <v>21.3485880267258</v>
      </c>
      <c r="Y512" s="7" t="n">
        <v>14.2493680300418</v>
      </c>
      <c r="Z512" s="7" t="n">
        <v>0</v>
      </c>
      <c r="AA512" s="7" t="n">
        <v>31.4762118653944</v>
      </c>
      <c r="AB512" s="7" t="n">
        <v>26.0398097828022</v>
      </c>
    </row>
    <row r="513" customFormat="false" ht="15" hidden="false" customHeight="false" outlineLevel="0" collapsed="false">
      <c r="A513" s="4" t="s">
        <v>429</v>
      </c>
      <c r="B513" s="4" t="s">
        <v>430</v>
      </c>
      <c r="C513" s="4" t="s">
        <v>99</v>
      </c>
      <c r="D513" s="4" t="s">
        <v>47</v>
      </c>
      <c r="E513" s="4" t="s">
        <v>92</v>
      </c>
      <c r="F513" s="7" t="n">
        <v>19.2215985308356</v>
      </c>
      <c r="G513" s="7" t="n">
        <v>10.9873709506458</v>
      </c>
      <c r="H513" s="7" t="n">
        <v>10.7821149139869</v>
      </c>
      <c r="I513" s="7" t="n">
        <v>17.7079597160337</v>
      </c>
      <c r="J513" s="7" t="n">
        <v>14.1521782194697</v>
      </c>
      <c r="K513" s="7" t="n">
        <v>20.9725420372181</v>
      </c>
      <c r="L513" s="7" t="n">
        <v>16.6900786468839</v>
      </c>
      <c r="M513" s="7" t="n">
        <v>23.427161132196</v>
      </c>
      <c r="N513" s="7" t="n">
        <v>24.9567605576278</v>
      </c>
      <c r="O513" s="7" t="n">
        <v>15.4739034392043</v>
      </c>
      <c r="P513" s="7" t="n">
        <v>7.34166481018935</v>
      </c>
      <c r="Q513" s="7" t="n">
        <v>11.7020857678629</v>
      </c>
      <c r="R513" s="7" t="n">
        <v>5.68469811372255</v>
      </c>
      <c r="S513" s="7" t="n">
        <v>6.64486071964065</v>
      </c>
      <c r="T513" s="7" t="n">
        <v>2.6975468496965</v>
      </c>
      <c r="U513" s="7" t="n">
        <v>10.874453945682</v>
      </c>
      <c r="V513" s="7" t="n">
        <v>9.57307985615671</v>
      </c>
      <c r="W513" s="7" t="n">
        <v>7.58675157179462</v>
      </c>
      <c r="X513" s="7" t="n">
        <v>12.3569511102541</v>
      </c>
      <c r="Y513" s="7" t="n">
        <v>19.8440247756699</v>
      </c>
      <c r="Z513" s="7" t="n">
        <v>22.089393048038</v>
      </c>
      <c r="AA513" s="7" t="n">
        <v>8.05938216161821</v>
      </c>
      <c r="AB513" s="7" t="n">
        <v>20.738526419148</v>
      </c>
    </row>
    <row r="514" customFormat="false" ht="15" hidden="false" customHeight="false" outlineLevel="0" collapsed="false">
      <c r="A514" s="4" t="s">
        <v>429</v>
      </c>
      <c r="B514" s="4" t="s">
        <v>430</v>
      </c>
      <c r="C514" s="4" t="s">
        <v>99</v>
      </c>
      <c r="D514" s="4" t="s">
        <v>47</v>
      </c>
      <c r="E514" s="4" t="s">
        <v>93</v>
      </c>
      <c r="F514" s="7" t="n">
        <v>107.810757382685</v>
      </c>
      <c r="G514" s="7" t="n">
        <v>69.8113743913691</v>
      </c>
      <c r="H514" s="7" t="n">
        <v>84.4320012143936</v>
      </c>
      <c r="I514" s="7" t="n">
        <v>157.050749444021</v>
      </c>
      <c r="J514" s="7" t="n">
        <v>129.081315258517</v>
      </c>
      <c r="K514" s="7" t="n">
        <v>136.80868680894</v>
      </c>
      <c r="L514" s="7" t="n">
        <v>118.639260230776</v>
      </c>
      <c r="M514" s="7" t="n">
        <v>167.962316231499</v>
      </c>
      <c r="N514" s="7" t="n">
        <v>187.885296578319</v>
      </c>
      <c r="O514" s="7" t="n">
        <v>83.783954021843</v>
      </c>
      <c r="P514" s="7" t="n">
        <v>58.0142161403705</v>
      </c>
      <c r="Q514" s="7" t="n">
        <v>91.3729034104042</v>
      </c>
      <c r="R514" s="7" t="n">
        <v>84.5680718303292</v>
      </c>
      <c r="S514" s="7" t="n">
        <v>64.2115084230096</v>
      </c>
      <c r="T514" s="7" t="n">
        <v>19.0702396420785</v>
      </c>
      <c r="U514" s="7" t="n">
        <v>112.431872321535</v>
      </c>
      <c r="V514" s="7" t="n">
        <v>99.6184944854624</v>
      </c>
      <c r="W514" s="7" t="n">
        <v>59.1683512912414</v>
      </c>
      <c r="X514" s="7" t="n">
        <v>47.8600025134108</v>
      </c>
      <c r="Y514" s="7" t="n">
        <v>61.0307519025403</v>
      </c>
      <c r="Z514" s="7" t="n">
        <v>77.510226558369</v>
      </c>
      <c r="AA514" s="7" t="n">
        <v>62.2593503641198</v>
      </c>
      <c r="AB514" s="7" t="n">
        <v>101.891754551224</v>
      </c>
    </row>
    <row r="515" customFormat="false" ht="15" hidden="false" customHeight="false" outlineLevel="0" collapsed="false">
      <c r="A515" s="4" t="s">
        <v>431</v>
      </c>
      <c r="B515" s="4" t="s">
        <v>432</v>
      </c>
      <c r="C515" s="4" t="s">
        <v>101</v>
      </c>
      <c r="D515" s="4" t="s">
        <v>61</v>
      </c>
      <c r="E515" s="4" t="s">
        <v>91</v>
      </c>
      <c r="F515" s="7" t="n">
        <v>22607.4040066551</v>
      </c>
      <c r="G515" s="7" t="n">
        <v>17873.9933813111</v>
      </c>
      <c r="H515" s="7" t="n">
        <v>27019.5425963938</v>
      </c>
      <c r="I515" s="7" t="n">
        <v>15527.8378371965</v>
      </c>
      <c r="J515" s="7" t="n">
        <v>34382.8746678417</v>
      </c>
      <c r="K515" s="7" t="n">
        <v>30652.4856444639</v>
      </c>
      <c r="L515" s="7" t="n">
        <v>51225.9845732449</v>
      </c>
      <c r="M515" s="7" t="n">
        <v>62039.5794739026</v>
      </c>
      <c r="N515" s="7" t="n">
        <v>83776.1670663251</v>
      </c>
      <c r="O515" s="7" t="n">
        <v>47922.9662884625</v>
      </c>
      <c r="P515" s="7" t="n">
        <v>73715.8958727232</v>
      </c>
      <c r="Q515" s="7" t="n">
        <v>65582.9025941969</v>
      </c>
      <c r="R515" s="7" t="n">
        <v>64129.0173015817</v>
      </c>
      <c r="S515" s="7" t="n">
        <v>65855.401006124</v>
      </c>
      <c r="T515" s="7" t="n">
        <v>41237.5437998787</v>
      </c>
      <c r="U515" s="7" t="n">
        <v>50176.1309230291</v>
      </c>
      <c r="V515" s="7" t="n">
        <v>49854.2661111797</v>
      </c>
      <c r="W515" s="7" t="n">
        <v>31626.2521852735</v>
      </c>
      <c r="X515" s="7" t="n">
        <v>19129.8464664786</v>
      </c>
      <c r="Y515" s="7" t="n">
        <v>19601.3165907865</v>
      </c>
      <c r="Z515" s="7" t="n">
        <v>19205.7326445604</v>
      </c>
      <c r="AA515" s="7" t="n">
        <v>15033.1214809596</v>
      </c>
      <c r="AB515" s="7" t="n">
        <v>27296.3669889703</v>
      </c>
    </row>
    <row r="516" customFormat="false" ht="15" hidden="false" customHeight="false" outlineLevel="0" collapsed="false">
      <c r="A516" s="4" t="s">
        <v>431</v>
      </c>
      <c r="B516" s="4" t="s">
        <v>432</v>
      </c>
      <c r="C516" s="4" t="s">
        <v>101</v>
      </c>
      <c r="D516" s="4" t="s">
        <v>61</v>
      </c>
      <c r="E516" s="4" t="s">
        <v>92</v>
      </c>
      <c r="F516" s="7" t="n">
        <v>1314.8528212312</v>
      </c>
      <c r="G516" s="7" t="n">
        <v>964.192959671973</v>
      </c>
      <c r="H516" s="7" t="n">
        <v>1048.42608033623</v>
      </c>
      <c r="I516" s="7" t="n">
        <v>584.560823550604</v>
      </c>
      <c r="J516" s="7" t="n">
        <v>656.282992507728</v>
      </c>
      <c r="K516" s="7" t="n">
        <v>894.86438749923</v>
      </c>
      <c r="L516" s="7" t="n">
        <v>1859.03936909382</v>
      </c>
      <c r="M516" s="7" t="n">
        <v>2764.1996151401</v>
      </c>
      <c r="N516" s="7" t="n">
        <v>0</v>
      </c>
      <c r="O516" s="7" t="n">
        <v>1437.2375917724</v>
      </c>
      <c r="P516" s="7" t="n">
        <v>920.132293274522</v>
      </c>
      <c r="Q516" s="7" t="n">
        <v>4622.45804847859</v>
      </c>
      <c r="R516" s="7" t="n">
        <v>716.525236354683</v>
      </c>
      <c r="S516" s="7" t="n">
        <v>958.07689720564</v>
      </c>
      <c r="T516" s="7" t="n">
        <v>640.67612945114</v>
      </c>
      <c r="U516" s="7" t="n">
        <v>1071.27037818055</v>
      </c>
      <c r="V516" s="7" t="n">
        <v>1672.54416529908</v>
      </c>
      <c r="W516" s="7" t="n">
        <v>2366.01050519649</v>
      </c>
      <c r="X516" s="7" t="n">
        <v>2351.37782019948</v>
      </c>
      <c r="Y516" s="7" t="n">
        <v>7506.73096021744</v>
      </c>
      <c r="Z516" s="7" t="n">
        <v>6730.77396335408</v>
      </c>
      <c r="AA516" s="7" t="n">
        <v>8538.01478888395</v>
      </c>
      <c r="AB516" s="7" t="n">
        <v>11493.9790580418</v>
      </c>
    </row>
    <row r="517" customFormat="false" ht="15" hidden="false" customHeight="false" outlineLevel="0" collapsed="false">
      <c r="A517" s="4" t="s">
        <v>431</v>
      </c>
      <c r="B517" s="4" t="s">
        <v>432</v>
      </c>
      <c r="C517" s="4" t="s">
        <v>101</v>
      </c>
      <c r="D517" s="4" t="s">
        <v>61</v>
      </c>
      <c r="E517" s="4" t="s">
        <v>93</v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0</v>
      </c>
      <c r="L517" s="7" t="n">
        <v>0</v>
      </c>
      <c r="M517" s="7" t="n">
        <v>0</v>
      </c>
      <c r="N517" s="7" t="n">
        <v>0</v>
      </c>
      <c r="O517" s="7" t="n">
        <v>0</v>
      </c>
      <c r="P517" s="7" t="n">
        <v>0</v>
      </c>
      <c r="Q517" s="7" t="n">
        <v>0</v>
      </c>
      <c r="R517" s="7" t="n">
        <v>0</v>
      </c>
      <c r="S517" s="7" t="n">
        <v>0</v>
      </c>
      <c r="T517" s="7" t="n">
        <v>0</v>
      </c>
      <c r="U517" s="7" t="n">
        <v>0</v>
      </c>
      <c r="V517" s="7" t="n">
        <v>0</v>
      </c>
      <c r="W517" s="7" t="n">
        <v>0</v>
      </c>
      <c r="X517" s="7" t="n">
        <v>0</v>
      </c>
      <c r="Y517" s="7" t="n">
        <v>0</v>
      </c>
      <c r="Z517" s="7" t="n">
        <v>0</v>
      </c>
      <c r="AA517" s="7" t="n">
        <v>0</v>
      </c>
      <c r="AB517" s="7" t="n">
        <v>0</v>
      </c>
    </row>
    <row r="518" customFormat="false" ht="15" hidden="false" customHeight="false" outlineLevel="0" collapsed="false">
      <c r="A518" s="4" t="s">
        <v>433</v>
      </c>
      <c r="B518" s="4" t="s">
        <v>434</v>
      </c>
      <c r="C518" s="4" t="s">
        <v>101</v>
      </c>
      <c r="D518" s="4" t="s">
        <v>61</v>
      </c>
      <c r="E518" s="4" t="s">
        <v>91</v>
      </c>
      <c r="F518" s="7" t="n">
        <v>7594.27201873855</v>
      </c>
      <c r="G518" s="7" t="n">
        <v>3034.10865722956</v>
      </c>
      <c r="H518" s="7" t="n">
        <v>3268.55561297852</v>
      </c>
      <c r="I518" s="7" t="n">
        <v>5378.92126494311</v>
      </c>
      <c r="J518" s="7" t="n">
        <v>9045.5589842773</v>
      </c>
      <c r="K518" s="7" t="n">
        <v>9053.93833882432</v>
      </c>
      <c r="L518" s="7" t="n">
        <v>11500.7953936704</v>
      </c>
      <c r="M518" s="7" t="n">
        <v>16742.3566286914</v>
      </c>
      <c r="N518" s="7" t="n">
        <v>10935.4823797455</v>
      </c>
      <c r="O518" s="7" t="n">
        <v>10766.9255341272</v>
      </c>
      <c r="P518" s="7" t="n">
        <v>18545.2212447314</v>
      </c>
      <c r="Q518" s="7" t="n">
        <v>9991.25881030503</v>
      </c>
      <c r="R518" s="7" t="n">
        <v>12269.3122754691</v>
      </c>
      <c r="S518" s="7" t="n">
        <v>14361.2489790037</v>
      </c>
      <c r="T518" s="7" t="n">
        <v>13551.4374112285</v>
      </c>
      <c r="U518" s="7" t="n">
        <v>18987.6453782032</v>
      </c>
      <c r="V518" s="7" t="n">
        <v>15144.6708024046</v>
      </c>
      <c r="W518" s="7" t="n">
        <v>8449.77989490174</v>
      </c>
      <c r="X518" s="7" t="n">
        <v>4702.72057267835</v>
      </c>
      <c r="Y518" s="7" t="n">
        <v>5091.26262151127</v>
      </c>
      <c r="Z518" s="7" t="n">
        <v>4143.21753844961</v>
      </c>
      <c r="AA518" s="7" t="n">
        <v>4808.22202791696</v>
      </c>
      <c r="AB518" s="7" t="n">
        <v>5459.33722488848</v>
      </c>
    </row>
    <row r="519" customFormat="false" ht="15" hidden="false" customHeight="false" outlineLevel="0" collapsed="false">
      <c r="A519" s="4" t="s">
        <v>433</v>
      </c>
      <c r="B519" s="4" t="s">
        <v>434</v>
      </c>
      <c r="C519" s="4" t="s">
        <v>101</v>
      </c>
      <c r="D519" s="4" t="s">
        <v>61</v>
      </c>
      <c r="E519" s="4" t="s">
        <v>92</v>
      </c>
      <c r="F519" s="7" t="n">
        <v>105.663133916638</v>
      </c>
      <c r="G519" s="7" t="n">
        <v>55.1779385105589</v>
      </c>
      <c r="H519" s="7" t="n">
        <v>300.629285419988</v>
      </c>
      <c r="I519" s="7" t="n">
        <v>561.981369496618</v>
      </c>
      <c r="J519" s="7" t="n">
        <v>749.262603467417</v>
      </c>
      <c r="K519" s="7" t="n">
        <v>846.378001221311</v>
      </c>
      <c r="L519" s="7" t="n">
        <v>756.039748393271</v>
      </c>
      <c r="M519" s="7" t="n">
        <v>552.18759481914</v>
      </c>
      <c r="N519" s="7" t="n">
        <v>56.9100223564726</v>
      </c>
      <c r="O519" s="7" t="n">
        <v>48.8570650602888</v>
      </c>
      <c r="P519" s="7" t="n">
        <v>231.8136477254</v>
      </c>
      <c r="Q519" s="7" t="n">
        <v>749.360164672486</v>
      </c>
      <c r="R519" s="7" t="n">
        <v>1129.87659888648</v>
      </c>
      <c r="S519" s="7" t="n">
        <v>1114.51789923044</v>
      </c>
      <c r="T519" s="7" t="n">
        <v>962.241974722125</v>
      </c>
      <c r="U519" s="7" t="n">
        <v>1291.08036472509</v>
      </c>
      <c r="V519" s="7" t="n">
        <v>3310.38027482256</v>
      </c>
      <c r="W519" s="7" t="n">
        <v>2604.67916776067</v>
      </c>
      <c r="X519" s="7" t="n">
        <v>3000.85352006861</v>
      </c>
      <c r="Y519" s="7" t="n">
        <v>4145.39155237351</v>
      </c>
      <c r="Z519" s="7" t="n">
        <v>3929.3507882977</v>
      </c>
      <c r="AA519" s="7" t="n">
        <v>3843.73405469531</v>
      </c>
      <c r="AB519" s="7" t="n">
        <v>4678.33216117853</v>
      </c>
    </row>
    <row r="520" customFormat="false" ht="15" hidden="false" customHeight="false" outlineLevel="0" collapsed="false">
      <c r="A520" s="4" t="s">
        <v>433</v>
      </c>
      <c r="B520" s="4" t="s">
        <v>434</v>
      </c>
      <c r="C520" s="4" t="s">
        <v>101</v>
      </c>
      <c r="D520" s="4" t="s">
        <v>61</v>
      </c>
      <c r="E520" s="4" t="s">
        <v>93</v>
      </c>
      <c r="F520" s="7" t="n">
        <v>354.482587555091</v>
      </c>
      <c r="G520" s="7" t="n">
        <v>105.25414787872</v>
      </c>
      <c r="H520" s="7" t="n">
        <v>248.765164511647</v>
      </c>
      <c r="I520" s="7" t="n">
        <v>209.744395999316</v>
      </c>
      <c r="J520" s="7" t="n">
        <v>285.399756376259</v>
      </c>
      <c r="K520" s="7" t="n">
        <v>329.880877159643</v>
      </c>
      <c r="L520" s="7" t="n">
        <v>501.15040938852</v>
      </c>
      <c r="M520" s="7" t="n">
        <v>415.044169423213</v>
      </c>
      <c r="N520" s="7" t="n">
        <v>337.556793099709</v>
      </c>
      <c r="O520" s="7" t="n">
        <v>353.46918303555</v>
      </c>
      <c r="P520" s="7" t="n">
        <v>688.605650196081</v>
      </c>
      <c r="Q520" s="7" t="n">
        <v>385.061023139566</v>
      </c>
      <c r="R520" s="7" t="n">
        <v>635.227818382941</v>
      </c>
      <c r="S520" s="7" t="n">
        <v>703.645291947309</v>
      </c>
      <c r="T520" s="7" t="n">
        <v>662.451218936311</v>
      </c>
      <c r="U520" s="7" t="n">
        <v>748.229694979417</v>
      </c>
      <c r="V520" s="7" t="n">
        <v>1031.22203183815</v>
      </c>
      <c r="W520" s="7" t="n">
        <v>1319.72619217112</v>
      </c>
      <c r="X520" s="7" t="n">
        <v>1248.09709965422</v>
      </c>
      <c r="Y520" s="7" t="n">
        <v>1743.92657193798</v>
      </c>
      <c r="Z520" s="7" t="n">
        <v>1677.25125122382</v>
      </c>
      <c r="AA520" s="7" t="n">
        <v>1655.65252170758</v>
      </c>
      <c r="AB520" s="7" t="n">
        <v>1810.00738737757</v>
      </c>
    </row>
    <row r="521" customFormat="false" ht="15" hidden="false" customHeight="false" outlineLevel="0" collapsed="false">
      <c r="A521" s="4" t="s">
        <v>435</v>
      </c>
      <c r="B521" s="4" t="s">
        <v>436</v>
      </c>
      <c r="C521" s="4" t="s">
        <v>104</v>
      </c>
      <c r="D521" s="4" t="s">
        <v>43</v>
      </c>
      <c r="E521" s="4" t="s">
        <v>91</v>
      </c>
      <c r="F521" s="7" t="n">
        <v>1364.84342662878</v>
      </c>
      <c r="G521" s="7" t="n">
        <v>1087.69422524988</v>
      </c>
      <c r="H521" s="7" t="n">
        <v>639.608719136659</v>
      </c>
      <c r="I521" s="7" t="n">
        <v>628.61615355627</v>
      </c>
      <c r="J521" s="7" t="n">
        <v>496.806396921706</v>
      </c>
      <c r="K521" s="7" t="n">
        <v>604.654899417518</v>
      </c>
      <c r="L521" s="7" t="n">
        <v>744.284857138153</v>
      </c>
      <c r="M521" s="7" t="n">
        <v>1025.58049887902</v>
      </c>
      <c r="N521" s="7" t="n">
        <v>859.864529570019</v>
      </c>
      <c r="O521" s="7" t="n">
        <v>804.043284993346</v>
      </c>
      <c r="P521" s="7" t="n">
        <v>1034.39339074727</v>
      </c>
      <c r="Q521" s="7" t="n">
        <v>1288.35369510318</v>
      </c>
      <c r="R521" s="7" t="n">
        <v>770.429085750848</v>
      </c>
      <c r="S521" s="7" t="n">
        <v>1151.7496727427</v>
      </c>
      <c r="T521" s="7" t="n">
        <v>1407.18294027151</v>
      </c>
      <c r="U521" s="7" t="n">
        <v>3579.04214879823</v>
      </c>
      <c r="V521" s="7" t="n">
        <v>3879.28151259984</v>
      </c>
      <c r="W521" s="7" t="n">
        <v>3116.11993372836</v>
      </c>
      <c r="X521" s="7" t="n">
        <v>902.866938334008</v>
      </c>
      <c r="Y521" s="7" t="n">
        <v>432.8804726212</v>
      </c>
      <c r="Z521" s="7" t="n">
        <v>353.514906784932</v>
      </c>
      <c r="AA521" s="7" t="n">
        <v>314.464278592582</v>
      </c>
      <c r="AB521" s="7" t="n">
        <v>234.541480016005</v>
      </c>
    </row>
    <row r="522" customFormat="false" ht="15" hidden="false" customHeight="false" outlineLevel="0" collapsed="false">
      <c r="A522" s="4" t="s">
        <v>435</v>
      </c>
      <c r="B522" s="4" t="s">
        <v>436</v>
      </c>
      <c r="C522" s="4" t="s">
        <v>104</v>
      </c>
      <c r="D522" s="4" t="s">
        <v>43</v>
      </c>
      <c r="E522" s="4" t="s">
        <v>92</v>
      </c>
      <c r="F522" s="7" t="n">
        <v>86.0664272809269</v>
      </c>
      <c r="G522" s="7" t="n">
        <v>68.8999286573577</v>
      </c>
      <c r="H522" s="7" t="n">
        <v>31.1819364733477</v>
      </c>
      <c r="I522" s="7" t="n">
        <v>27.3259398611314</v>
      </c>
      <c r="J522" s="7" t="n">
        <v>0</v>
      </c>
      <c r="K522" s="7" t="n">
        <v>0</v>
      </c>
      <c r="L522" s="7" t="n">
        <v>0</v>
      </c>
      <c r="M522" s="7" t="n">
        <v>0</v>
      </c>
      <c r="N522" s="7" t="n">
        <v>0</v>
      </c>
      <c r="O522" s="7" t="n">
        <v>0</v>
      </c>
      <c r="P522" s="7" t="n">
        <v>0</v>
      </c>
      <c r="Q522" s="7" t="n">
        <v>0</v>
      </c>
      <c r="R522" s="7" t="n">
        <v>0</v>
      </c>
      <c r="S522" s="7" t="n">
        <v>0</v>
      </c>
      <c r="T522" s="7" t="n">
        <v>0</v>
      </c>
      <c r="U522" s="7" t="n">
        <v>0</v>
      </c>
      <c r="V522" s="7" t="n">
        <v>0</v>
      </c>
      <c r="W522" s="7" t="n">
        <v>0</v>
      </c>
      <c r="X522" s="7" t="n">
        <v>129.393690351206</v>
      </c>
      <c r="Y522" s="7" t="n">
        <v>286.185278107488</v>
      </c>
      <c r="Z522" s="7" t="n">
        <v>188.392483585628</v>
      </c>
      <c r="AA522" s="7" t="n">
        <v>229.564546038157</v>
      </c>
      <c r="AB522" s="7" t="n">
        <v>148.86721732583</v>
      </c>
    </row>
    <row r="523" customFormat="false" ht="15" hidden="false" customHeight="false" outlineLevel="0" collapsed="false">
      <c r="A523" s="4" t="s">
        <v>435</v>
      </c>
      <c r="B523" s="4" t="s">
        <v>436</v>
      </c>
      <c r="C523" s="4" t="s">
        <v>104</v>
      </c>
      <c r="D523" s="4" t="s">
        <v>43</v>
      </c>
      <c r="E523" s="4" t="s">
        <v>93</v>
      </c>
      <c r="F523" s="7" t="n">
        <v>1200</v>
      </c>
      <c r="G523" s="7" t="n">
        <v>1200</v>
      </c>
      <c r="H523" s="7" t="n">
        <v>1200</v>
      </c>
      <c r="I523" s="7" t="n">
        <v>1200</v>
      </c>
      <c r="J523" s="7" t="n">
        <v>1200</v>
      </c>
      <c r="K523" s="7" t="n">
        <v>1200</v>
      </c>
      <c r="L523" s="7" t="n">
        <v>1200</v>
      </c>
      <c r="M523" s="7" t="n">
        <v>2466.66666666667</v>
      </c>
      <c r="N523" s="7" t="n">
        <v>3733.33333333333</v>
      </c>
      <c r="O523" s="7" t="n">
        <v>5000</v>
      </c>
      <c r="P523" s="7" t="n">
        <v>5000</v>
      </c>
      <c r="Q523" s="7" t="n">
        <v>5000</v>
      </c>
      <c r="R523" s="7" t="n">
        <v>3333.33333333333</v>
      </c>
      <c r="S523" s="7" t="n">
        <v>1666.66666666667</v>
      </c>
      <c r="T523" s="7" t="n">
        <v>0</v>
      </c>
      <c r="U523" s="7" t="n">
        <v>0</v>
      </c>
      <c r="V523" s="7" t="n">
        <v>666.666666666667</v>
      </c>
      <c r="W523" s="7" t="n">
        <v>888.888888888895</v>
      </c>
      <c r="X523" s="7" t="n">
        <v>1185.18518518521</v>
      </c>
      <c r="Y523" s="7" t="n">
        <v>913.580246913616</v>
      </c>
      <c r="Z523" s="7" t="n">
        <v>1037.03703703708</v>
      </c>
      <c r="AA523" s="7" t="n">
        <v>1185.18518518523</v>
      </c>
      <c r="AB523" s="7" t="n">
        <v>1045.26748971197</v>
      </c>
    </row>
    <row r="524" customFormat="false" ht="15" hidden="false" customHeight="false" outlineLevel="0" collapsed="false">
      <c r="A524" s="4" t="s">
        <v>437</v>
      </c>
      <c r="B524" s="4" t="s">
        <v>438</v>
      </c>
      <c r="C524" s="4" t="s">
        <v>107</v>
      </c>
      <c r="D524" s="4" t="s">
        <v>79</v>
      </c>
      <c r="E524" s="4" t="s">
        <v>91</v>
      </c>
      <c r="F524" s="7" t="n">
        <v>404.963111392631</v>
      </c>
      <c r="G524" s="7" t="n">
        <v>591.683421320688</v>
      </c>
      <c r="H524" s="7" t="n">
        <v>903.972298740737</v>
      </c>
      <c r="I524" s="7" t="n">
        <v>1556.02479012844</v>
      </c>
      <c r="J524" s="7" t="n">
        <v>1793.19309380223</v>
      </c>
      <c r="K524" s="7" t="n">
        <v>1921.647298582</v>
      </c>
      <c r="L524" s="7" t="n">
        <v>2161.33776327304</v>
      </c>
      <c r="M524" s="7" t="n">
        <v>2033.66796573903</v>
      </c>
      <c r="N524" s="7" t="n">
        <v>1543.04050032332</v>
      </c>
      <c r="O524" s="7" t="n">
        <v>1434.32782872003</v>
      </c>
      <c r="P524" s="7" t="n">
        <v>2148.03694218871</v>
      </c>
      <c r="Q524" s="7" t="n">
        <v>1526.90766640977</v>
      </c>
      <c r="R524" s="7" t="n">
        <v>1624.47088069336</v>
      </c>
      <c r="S524" s="7" t="n">
        <v>2942.12254188249</v>
      </c>
      <c r="T524" s="7" t="n">
        <v>1987.24201241893</v>
      </c>
      <c r="U524" s="7" t="n">
        <v>2718.27015454245</v>
      </c>
      <c r="V524" s="7" t="n">
        <v>1623.36068372786</v>
      </c>
      <c r="W524" s="7" t="n">
        <v>1337.27293867491</v>
      </c>
      <c r="X524" s="7" t="n">
        <v>669.915755358432</v>
      </c>
      <c r="Y524" s="7" t="n">
        <v>483.617215465997</v>
      </c>
      <c r="Z524" s="7" t="n">
        <v>1294.19383349538</v>
      </c>
      <c r="AA524" s="7" t="n">
        <v>692.474987528579</v>
      </c>
      <c r="AB524" s="7" t="n">
        <v>207.242946924498</v>
      </c>
    </row>
    <row r="525" customFormat="false" ht="15" hidden="false" customHeight="false" outlineLevel="0" collapsed="false">
      <c r="A525" s="4" t="s">
        <v>437</v>
      </c>
      <c r="B525" s="4" t="s">
        <v>438</v>
      </c>
      <c r="C525" s="4" t="s">
        <v>107</v>
      </c>
      <c r="D525" s="4" t="s">
        <v>79</v>
      </c>
      <c r="E525" s="4" t="s">
        <v>92</v>
      </c>
      <c r="F525" s="7" t="n">
        <v>575.086749707941</v>
      </c>
      <c r="G525" s="7" t="n">
        <v>391.994185213096</v>
      </c>
      <c r="H525" s="7" t="n">
        <v>371.226352478722</v>
      </c>
      <c r="I525" s="7" t="n">
        <v>662.310625004572</v>
      </c>
      <c r="J525" s="7" t="n">
        <v>564.476917858959</v>
      </c>
      <c r="K525" s="7" t="n">
        <v>857.299308746242</v>
      </c>
      <c r="L525" s="7" t="n">
        <v>410.536752952905</v>
      </c>
      <c r="M525" s="7" t="n">
        <v>983.006021537943</v>
      </c>
      <c r="N525" s="7" t="n">
        <v>424.631649515333</v>
      </c>
      <c r="O525" s="7" t="n">
        <v>479.791350645369</v>
      </c>
      <c r="P525" s="7" t="n">
        <v>1026.73174696284</v>
      </c>
      <c r="Q525" s="7" t="n">
        <v>1310.80316380618</v>
      </c>
      <c r="R525" s="7" t="n">
        <v>1402.06592394141</v>
      </c>
      <c r="S525" s="7" t="n">
        <v>1932.44771660331</v>
      </c>
      <c r="T525" s="7" t="n">
        <v>1153.97457020068</v>
      </c>
      <c r="U525" s="7" t="n">
        <v>1763.48502269136</v>
      </c>
      <c r="V525" s="7" t="n">
        <v>1850.7893161477</v>
      </c>
      <c r="W525" s="7" t="n">
        <v>1359.57173599406</v>
      </c>
      <c r="X525" s="7" t="n">
        <v>1468.47130799297</v>
      </c>
      <c r="Y525" s="7" t="n">
        <v>1013.89001646848</v>
      </c>
      <c r="Z525" s="7" t="n">
        <v>1391.08845661595</v>
      </c>
      <c r="AA525" s="7" t="n">
        <v>206.409263706462</v>
      </c>
      <c r="AB525" s="7" t="n">
        <v>107.269131493207</v>
      </c>
    </row>
    <row r="526" customFormat="false" ht="15" hidden="false" customHeight="false" outlineLevel="0" collapsed="false">
      <c r="A526" s="4" t="s">
        <v>437</v>
      </c>
      <c r="B526" s="4" t="s">
        <v>438</v>
      </c>
      <c r="C526" s="4" t="s">
        <v>107</v>
      </c>
      <c r="D526" s="4" t="s">
        <v>79</v>
      </c>
      <c r="E526" s="4" t="s">
        <v>93</v>
      </c>
      <c r="F526" s="7" t="n">
        <v>59.5754333496094</v>
      </c>
      <c r="G526" s="7" t="n">
        <v>77.8396414455916</v>
      </c>
      <c r="H526" s="7" t="n">
        <v>129.42506011118</v>
      </c>
      <c r="I526" s="7" t="n">
        <v>173.540778738032</v>
      </c>
      <c r="J526" s="7" t="n">
        <v>207.8630906902</v>
      </c>
      <c r="K526" s="7" t="n">
        <v>429.185407298105</v>
      </c>
      <c r="L526" s="7" t="n">
        <v>322.07347833252</v>
      </c>
      <c r="M526" s="7" t="n">
        <v>343.366018528599</v>
      </c>
      <c r="N526" s="7" t="n">
        <v>292.725881954944</v>
      </c>
      <c r="O526" s="7" t="n">
        <v>189.927329460593</v>
      </c>
      <c r="P526" s="7" t="n">
        <v>867.240950865779</v>
      </c>
      <c r="Q526" s="7" t="n">
        <v>1202.02758994514</v>
      </c>
      <c r="R526" s="7" t="n">
        <v>672.75691552385</v>
      </c>
      <c r="S526" s="7" t="n">
        <v>1175.94795849686</v>
      </c>
      <c r="T526" s="7" t="n">
        <v>807.00966940894</v>
      </c>
      <c r="U526" s="7" t="n">
        <v>1643.21308777322</v>
      </c>
      <c r="V526" s="7" t="n">
        <v>1816.96674223597</v>
      </c>
      <c r="W526" s="7" t="n">
        <v>2602.18347888619</v>
      </c>
      <c r="X526" s="7" t="n">
        <v>1932.87660749672</v>
      </c>
      <c r="Y526" s="7" t="n">
        <v>1554.00364462489</v>
      </c>
      <c r="Z526" s="7" t="n">
        <v>1918.1551671222</v>
      </c>
      <c r="AA526" s="7" t="n">
        <v>2438.66560026217</v>
      </c>
      <c r="AB526" s="7" t="n">
        <v>2818.36641025455</v>
      </c>
    </row>
    <row r="527" customFormat="false" ht="15" hidden="false" customHeight="false" outlineLevel="0" collapsed="false">
      <c r="A527" s="4" t="s">
        <v>31</v>
      </c>
      <c r="B527" s="4" t="s">
        <v>439</v>
      </c>
      <c r="C527" s="4" t="s">
        <v>112</v>
      </c>
      <c r="D527" s="4" t="s">
        <v>31</v>
      </c>
      <c r="E527" s="4" t="s">
        <v>91</v>
      </c>
      <c r="F527" s="7" t="n">
        <v>23529.301432586</v>
      </c>
      <c r="G527" s="7" t="n">
        <v>14457.5700330376</v>
      </c>
      <c r="H527" s="7" t="n">
        <v>10152.6749142016</v>
      </c>
      <c r="I527" s="7" t="n">
        <v>11720.6520748279</v>
      </c>
      <c r="J527" s="7" t="n">
        <v>14755.0890055409</v>
      </c>
      <c r="K527" s="7" t="n">
        <v>14726.4860268742</v>
      </c>
      <c r="L527" s="7" t="n">
        <v>14215.7111865877</v>
      </c>
      <c r="M527" s="7" t="n">
        <v>18450.2967830686</v>
      </c>
      <c r="N527" s="7" t="n">
        <v>14859.6158315903</v>
      </c>
      <c r="O527" s="7" t="n">
        <v>19596.8533512665</v>
      </c>
      <c r="P527" s="7" t="n">
        <v>18866.4577723579</v>
      </c>
      <c r="Q527" s="7" t="n">
        <v>81011.2072746443</v>
      </c>
      <c r="R527" s="7" t="n">
        <v>54801.1801490464</v>
      </c>
      <c r="S527" s="7" t="n">
        <v>60780.0288446588</v>
      </c>
      <c r="T527" s="7" t="n">
        <v>27510.7086360904</v>
      </c>
      <c r="U527" s="7" t="n">
        <v>45285.3966659311</v>
      </c>
      <c r="V527" s="7" t="n">
        <v>40330.7729776478</v>
      </c>
      <c r="W527" s="7" t="n">
        <v>19230.4964328844</v>
      </c>
      <c r="X527" s="7" t="n">
        <v>8233.80423753705</v>
      </c>
      <c r="Y527" s="7" t="n">
        <v>0</v>
      </c>
      <c r="Z527" s="7" t="n">
        <v>0</v>
      </c>
      <c r="AA527" s="7" t="n">
        <v>13782.5143057095</v>
      </c>
      <c r="AB527" s="7" t="n">
        <v>6218.98891213346</v>
      </c>
    </row>
    <row r="528" customFormat="false" ht="15" hidden="false" customHeight="false" outlineLevel="0" collapsed="false">
      <c r="A528" s="4" t="s">
        <v>31</v>
      </c>
      <c r="B528" s="4" t="s">
        <v>439</v>
      </c>
      <c r="C528" s="4" t="s">
        <v>112</v>
      </c>
      <c r="D528" s="4" t="s">
        <v>31</v>
      </c>
      <c r="E528" s="4" t="s">
        <v>92</v>
      </c>
      <c r="F528" s="7" t="n">
        <v>70483.0177093073</v>
      </c>
      <c r="G528" s="7" t="n">
        <v>63805.7501350688</v>
      </c>
      <c r="H528" s="7" t="n">
        <v>51594.6033541791</v>
      </c>
      <c r="I528" s="7" t="n">
        <v>84697.7514757004</v>
      </c>
      <c r="J528" s="7" t="n">
        <v>80397.6199224062</v>
      </c>
      <c r="K528" s="7" t="n">
        <v>87960.1725979787</v>
      </c>
      <c r="L528" s="7" t="n">
        <v>97062.6471702305</v>
      </c>
      <c r="M528" s="7" t="n">
        <v>81767.8555243728</v>
      </c>
      <c r="N528" s="7" t="n">
        <v>68566.5104181299</v>
      </c>
      <c r="O528" s="7" t="n">
        <v>76632.3497765323</v>
      </c>
      <c r="P528" s="7" t="n">
        <v>69193.2883572873</v>
      </c>
      <c r="Q528" s="7" t="n">
        <v>45100.1524509071</v>
      </c>
      <c r="R528" s="7" t="n">
        <v>28569.812393178</v>
      </c>
      <c r="S528" s="7" t="n">
        <v>34640.21685132</v>
      </c>
      <c r="T528" s="7" t="n">
        <v>52680.9083918701</v>
      </c>
      <c r="U528" s="7" t="n">
        <v>70162.7967737014</v>
      </c>
      <c r="V528" s="7" t="n">
        <v>73350.9335287282</v>
      </c>
      <c r="W528" s="7" t="n">
        <v>60309.3342936602</v>
      </c>
      <c r="X528" s="7" t="n">
        <v>54196.5655733444</v>
      </c>
      <c r="Y528" s="7" t="n">
        <v>51296.0644334778</v>
      </c>
      <c r="Z528" s="7" t="n">
        <v>45991.7713570402</v>
      </c>
      <c r="AA528" s="7" t="n">
        <v>32883.702742212</v>
      </c>
      <c r="AB528" s="7" t="n">
        <v>39492.2806113087</v>
      </c>
    </row>
    <row r="529" customFormat="false" ht="15" hidden="false" customHeight="false" outlineLevel="0" collapsed="false">
      <c r="A529" s="4" t="s">
        <v>31</v>
      </c>
      <c r="B529" s="4" t="s">
        <v>439</v>
      </c>
      <c r="C529" s="4" t="s">
        <v>112</v>
      </c>
      <c r="D529" s="4" t="s">
        <v>31</v>
      </c>
      <c r="E529" s="4" t="s">
        <v>93</v>
      </c>
      <c r="F529" s="7" t="n">
        <v>387900</v>
      </c>
      <c r="G529" s="7" t="n">
        <v>387900</v>
      </c>
      <c r="H529" s="7" t="n">
        <v>387900</v>
      </c>
      <c r="I529" s="7" t="n">
        <v>387900</v>
      </c>
      <c r="J529" s="7" t="n">
        <v>387900</v>
      </c>
      <c r="K529" s="7" t="n">
        <v>387900</v>
      </c>
      <c r="L529" s="7" t="n">
        <v>387900</v>
      </c>
      <c r="M529" s="7" t="n">
        <v>294800</v>
      </c>
      <c r="N529" s="7" t="n">
        <v>201700</v>
      </c>
      <c r="O529" s="7" t="n">
        <v>108600</v>
      </c>
      <c r="P529" s="7" t="n">
        <v>108600</v>
      </c>
      <c r="Q529" s="7" t="n">
        <v>108600</v>
      </c>
      <c r="R529" s="7" t="n">
        <v>72400</v>
      </c>
      <c r="S529" s="7" t="n">
        <v>331200</v>
      </c>
      <c r="T529" s="7" t="n">
        <v>295000</v>
      </c>
      <c r="U529" s="7" t="n">
        <v>295000</v>
      </c>
      <c r="V529" s="7" t="n">
        <v>0</v>
      </c>
      <c r="W529" s="7" t="n">
        <v>0</v>
      </c>
      <c r="X529" s="7" t="n">
        <v>0</v>
      </c>
      <c r="Y529" s="7" t="n">
        <v>0</v>
      </c>
      <c r="Z529" s="7" t="n">
        <v>0</v>
      </c>
      <c r="AA529" s="7" t="n">
        <v>0</v>
      </c>
      <c r="AB529" s="7" t="n">
        <v>0</v>
      </c>
    </row>
    <row r="530" customFormat="false" ht="15" hidden="false" customHeight="false" outlineLevel="0" collapsed="false">
      <c r="A530" s="4" t="s">
        <v>440</v>
      </c>
      <c r="B530" s="4" t="s">
        <v>441</v>
      </c>
      <c r="C530" s="4" t="s">
        <v>99</v>
      </c>
      <c r="D530" s="4" t="s">
        <v>43</v>
      </c>
      <c r="E530" s="4" t="s">
        <v>91</v>
      </c>
      <c r="F530" s="7" t="n">
        <v>109.018859520784</v>
      </c>
      <c r="G530" s="7" t="n">
        <v>51.5668714005055</v>
      </c>
      <c r="H530" s="7" t="n">
        <v>23.4670390510829</v>
      </c>
      <c r="I530" s="7" t="n">
        <v>17.1388006713867</v>
      </c>
      <c r="J530" s="7" t="n">
        <v>4.50914060668945</v>
      </c>
      <c r="K530" s="7" t="n">
        <v>8.79687907714844</v>
      </c>
      <c r="L530" s="7" t="n">
        <v>12.7423069666006</v>
      </c>
      <c r="M530" s="7" t="n">
        <v>10.4783774597168</v>
      </c>
      <c r="N530" s="7" t="n">
        <v>30.5572582100902</v>
      </c>
      <c r="O530" s="7" t="n">
        <v>7.35337396039178</v>
      </c>
      <c r="P530" s="7" t="n">
        <v>15.8877321350098</v>
      </c>
      <c r="Q530" s="7" t="n">
        <v>16.622137415566</v>
      </c>
      <c r="R530" s="7" t="n">
        <v>4.57798031995674</v>
      </c>
      <c r="S530" s="7" t="n">
        <v>0.452209091101505</v>
      </c>
      <c r="T530" s="7" t="n">
        <v>0</v>
      </c>
      <c r="U530" s="7" t="n">
        <v>0</v>
      </c>
      <c r="V530" s="7" t="n">
        <v>0.387093796915789</v>
      </c>
      <c r="W530" s="7" t="n">
        <v>0.0806236243842338</v>
      </c>
      <c r="X530" s="7" t="n">
        <v>2.18653799109963</v>
      </c>
      <c r="Y530" s="7" t="n">
        <v>0.891555535888672</v>
      </c>
      <c r="Z530" s="7" t="n">
        <v>0.405949877929688</v>
      </c>
      <c r="AA530" s="7" t="n">
        <v>0.690341772916084</v>
      </c>
      <c r="AB530" s="7" t="n">
        <v>0.173375691256179</v>
      </c>
    </row>
    <row r="531" customFormat="false" ht="15" hidden="false" customHeight="false" outlineLevel="0" collapsed="false">
      <c r="A531" s="4" t="s">
        <v>440</v>
      </c>
      <c r="B531" s="4" t="s">
        <v>441</v>
      </c>
      <c r="C531" s="4" t="s">
        <v>99</v>
      </c>
      <c r="D531" s="4" t="s">
        <v>43</v>
      </c>
      <c r="E531" s="4" t="s">
        <v>92</v>
      </c>
      <c r="F531" s="7" t="n">
        <v>0</v>
      </c>
      <c r="G531" s="7" t="n">
        <v>0</v>
      </c>
      <c r="H531" s="7" t="n">
        <v>0</v>
      </c>
      <c r="I531" s="7" t="n">
        <v>0</v>
      </c>
      <c r="J531" s="7" t="n">
        <v>0</v>
      </c>
      <c r="K531" s="7" t="n">
        <v>0</v>
      </c>
      <c r="L531" s="7" t="n">
        <v>0</v>
      </c>
      <c r="M531" s="7" t="n">
        <v>0</v>
      </c>
      <c r="N531" s="7" t="n">
        <v>0</v>
      </c>
      <c r="O531" s="7" t="n">
        <v>0</v>
      </c>
      <c r="P531" s="7" t="n">
        <v>5.34034746041007</v>
      </c>
      <c r="Q531" s="7" t="n">
        <v>13.1829191896304</v>
      </c>
      <c r="R531" s="7" t="n">
        <v>0.961232264919885</v>
      </c>
      <c r="S531" s="7" t="n">
        <v>0.0193711846832741</v>
      </c>
      <c r="T531" s="7" t="n">
        <v>0</v>
      </c>
      <c r="U531" s="7" t="n">
        <v>0</v>
      </c>
      <c r="V531" s="7" t="n">
        <v>0.434553725056868</v>
      </c>
      <c r="W531" s="7" t="n">
        <v>0.26698295520561</v>
      </c>
      <c r="X531" s="7" t="n">
        <v>0.224691440052717</v>
      </c>
      <c r="Y531" s="7" t="n">
        <v>0</v>
      </c>
      <c r="Z531" s="7" t="n">
        <v>0</v>
      </c>
      <c r="AA531" s="7" t="n">
        <v>0.020617480013604</v>
      </c>
      <c r="AB531" s="7" t="n">
        <v>0.00207618862663366</v>
      </c>
    </row>
    <row r="532" customFormat="false" ht="15" hidden="false" customHeight="false" outlineLevel="0" collapsed="false">
      <c r="A532" s="4" t="s">
        <v>440</v>
      </c>
      <c r="B532" s="4" t="s">
        <v>441</v>
      </c>
      <c r="C532" s="4" t="s">
        <v>99</v>
      </c>
      <c r="D532" s="4" t="s">
        <v>43</v>
      </c>
      <c r="E532" s="4" t="s">
        <v>93</v>
      </c>
      <c r="F532" s="7" t="n">
        <v>42.9924145727125</v>
      </c>
      <c r="G532" s="7" t="n">
        <v>45.0537721984863</v>
      </c>
      <c r="H532" s="7" t="n">
        <v>14.2595400268555</v>
      </c>
      <c r="I532" s="7" t="n">
        <v>12.5219316900276</v>
      </c>
      <c r="J532" s="7" t="n">
        <v>6.94264450073242</v>
      </c>
      <c r="K532" s="7" t="n">
        <v>10.1536364318848</v>
      </c>
      <c r="L532" s="7" t="n">
        <v>10.3973970458984</v>
      </c>
      <c r="M532" s="7" t="n">
        <v>10.6963633666992</v>
      </c>
      <c r="N532" s="7" t="n">
        <v>16.8729344615024</v>
      </c>
      <c r="O532" s="7" t="n">
        <v>9.17980240478515</v>
      </c>
      <c r="P532" s="7" t="n">
        <v>3.27034117247423</v>
      </c>
      <c r="Q532" s="7" t="n">
        <v>4.36968994631722</v>
      </c>
      <c r="R532" s="7" t="n">
        <v>0.678780243492516</v>
      </c>
      <c r="S532" s="7" t="n">
        <v>0.164154038180064</v>
      </c>
      <c r="T532" s="7" t="n">
        <v>0</v>
      </c>
      <c r="U532" s="7" t="n">
        <v>0</v>
      </c>
      <c r="V532" s="7" t="n">
        <v>0</v>
      </c>
      <c r="W532" s="7" t="n">
        <v>0</v>
      </c>
      <c r="X532" s="7" t="n">
        <v>0</v>
      </c>
      <c r="Y532" s="7" t="n">
        <v>0</v>
      </c>
      <c r="Z532" s="7" t="n">
        <v>0</v>
      </c>
      <c r="AA532" s="7" t="n">
        <v>0</v>
      </c>
      <c r="AB532" s="7" t="n">
        <v>0</v>
      </c>
    </row>
    <row r="533" customFormat="false" ht="15" hidden="false" customHeight="false" outlineLevel="0" collapsed="false">
      <c r="A533" s="4" t="s">
        <v>442</v>
      </c>
      <c r="B533" s="4" t="s">
        <v>443</v>
      </c>
      <c r="C533" s="4" t="s">
        <v>112</v>
      </c>
      <c r="D533" s="4" t="s">
        <v>79</v>
      </c>
      <c r="E533" s="4" t="s">
        <v>91</v>
      </c>
      <c r="F533" s="7" t="n">
        <v>0.0666666666656965</v>
      </c>
      <c r="G533" s="7" t="n">
        <v>0.133333333331393</v>
      </c>
      <c r="H533" s="7" t="n">
        <v>0.133333333336244</v>
      </c>
      <c r="I533" s="7" t="n">
        <v>0.166666666666667</v>
      </c>
      <c r="J533" s="7" t="n">
        <v>0.847105719338542</v>
      </c>
      <c r="K533" s="7" t="n">
        <v>0.134280782795414</v>
      </c>
      <c r="L533" s="7" t="n">
        <v>1.70050865159315</v>
      </c>
      <c r="M533" s="7" t="n">
        <v>2.55771476073599</v>
      </c>
      <c r="N533" s="7" t="n">
        <v>1.99473043088768</v>
      </c>
      <c r="O533" s="7" t="n">
        <v>6.51304953526322</v>
      </c>
      <c r="P533" s="7" t="n">
        <v>2.19172494618368</v>
      </c>
      <c r="Q533" s="7" t="n">
        <v>1.28575540781538</v>
      </c>
      <c r="R533" s="7" t="n">
        <v>0.86027842394191</v>
      </c>
      <c r="S533" s="7" t="n">
        <v>0.655025337339859</v>
      </c>
      <c r="T533" s="7" t="n">
        <v>0.00564462402705586</v>
      </c>
      <c r="U533" s="7" t="n">
        <v>0.333333333333333</v>
      </c>
      <c r="V533" s="7" t="n">
        <v>0.333333333333333</v>
      </c>
      <c r="W533" s="7" t="n">
        <v>0.30000000000291</v>
      </c>
      <c r="X533" s="7" t="n">
        <v>0.873497290432664</v>
      </c>
      <c r="Y533" s="7" t="n">
        <v>0.190609059085847</v>
      </c>
      <c r="Z533" s="7" t="n">
        <v>0.596397867321405</v>
      </c>
      <c r="AA533" s="7" t="n">
        <v>0.585003191200296</v>
      </c>
      <c r="AB533" s="7" t="n">
        <v>0.0305896645579051</v>
      </c>
    </row>
    <row r="534" customFormat="false" ht="15" hidden="false" customHeight="false" outlineLevel="0" collapsed="false">
      <c r="A534" s="4" t="s">
        <v>442</v>
      </c>
      <c r="B534" s="4" t="s">
        <v>443</v>
      </c>
      <c r="C534" s="4" t="s">
        <v>112</v>
      </c>
      <c r="D534" s="4" t="s">
        <v>79</v>
      </c>
      <c r="E534" s="4" t="s">
        <v>92</v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0.0887926270591637</v>
      </c>
      <c r="K534" s="7" t="n">
        <v>0.0325166838457709</v>
      </c>
      <c r="L534" s="7" t="n">
        <v>0.342891099098472</v>
      </c>
      <c r="M534" s="7" t="n">
        <v>0.724903866663416</v>
      </c>
      <c r="N534" s="7" t="n">
        <v>0.488083058340643</v>
      </c>
      <c r="O534" s="7" t="n">
        <v>2.26165107485858</v>
      </c>
      <c r="P534" s="7" t="n">
        <v>1.16290174316395</v>
      </c>
      <c r="Q534" s="7" t="n">
        <v>1.26364806368439</v>
      </c>
      <c r="R534" s="7" t="n">
        <v>1.01078180667094</v>
      </c>
      <c r="S534" s="7" t="n">
        <v>0.860779398062799</v>
      </c>
      <c r="T534" s="7" t="n">
        <v>0.0313343065646394</v>
      </c>
      <c r="U534" s="7" t="n">
        <v>0</v>
      </c>
      <c r="V534" s="7" t="n">
        <v>0</v>
      </c>
      <c r="W534" s="7" t="n">
        <v>0</v>
      </c>
      <c r="X534" s="7" t="n">
        <v>0.924856164157179</v>
      </c>
      <c r="Y534" s="7" t="n">
        <v>0.259042124996184</v>
      </c>
      <c r="Z534" s="7" t="n">
        <v>0.828322323108282</v>
      </c>
      <c r="AA534" s="7" t="n">
        <v>0.91346903780361</v>
      </c>
      <c r="AB534" s="7" t="n">
        <v>0.0443839865651418</v>
      </c>
    </row>
    <row r="535" customFormat="false" ht="15" hidden="false" customHeight="false" outlineLevel="0" collapsed="false">
      <c r="A535" s="4" t="s">
        <v>442</v>
      </c>
      <c r="B535" s="4" t="s">
        <v>443</v>
      </c>
      <c r="C535" s="4" t="s">
        <v>112</v>
      </c>
      <c r="D535" s="4" t="s">
        <v>79</v>
      </c>
      <c r="E535" s="4" t="s">
        <v>93</v>
      </c>
      <c r="F535" s="7" t="n">
        <v>0.369720581456305</v>
      </c>
      <c r="G535" s="7" t="n">
        <v>0.511504253040854</v>
      </c>
      <c r="H535" s="7" t="n">
        <v>1.60652183235375</v>
      </c>
      <c r="I535" s="7" t="n">
        <v>0.942793661794355</v>
      </c>
      <c r="J535" s="7" t="n">
        <v>0.863036382606201</v>
      </c>
      <c r="K535" s="7" t="n">
        <v>0.0580638920013934</v>
      </c>
      <c r="L535" s="7" t="n">
        <v>0.654449498575953</v>
      </c>
      <c r="M535" s="7" t="n">
        <v>1.06504374442676</v>
      </c>
      <c r="N535" s="7" t="n">
        <v>0.960371516587971</v>
      </c>
      <c r="O535" s="7" t="n">
        <v>1.4917312258157</v>
      </c>
      <c r="P535" s="7" t="n">
        <v>0.991096668806663</v>
      </c>
      <c r="Q535" s="7" t="n">
        <v>0.897567787045153</v>
      </c>
      <c r="R535" s="7" t="n">
        <v>0.677391014504339</v>
      </c>
      <c r="S535" s="7" t="n">
        <v>0.658194770212577</v>
      </c>
      <c r="T535" s="7" t="n">
        <v>0.112892480541117</v>
      </c>
      <c r="U535" s="7" t="n">
        <v>1.70325938276811</v>
      </c>
      <c r="V535" s="7" t="n">
        <v>0</v>
      </c>
      <c r="W535" s="7" t="n">
        <v>0</v>
      </c>
      <c r="X535" s="7" t="n">
        <v>0</v>
      </c>
      <c r="Y535" s="7" t="n">
        <v>0</v>
      </c>
      <c r="Z535" s="7" t="n">
        <v>0</v>
      </c>
      <c r="AA535" s="7" t="n">
        <v>0</v>
      </c>
      <c r="AB535" s="7" t="n">
        <v>0</v>
      </c>
    </row>
    <row r="536" customFormat="false" ht="15" hidden="false" customHeight="false" outlineLevel="0" collapsed="false">
      <c r="A536" s="4" t="s">
        <v>444</v>
      </c>
      <c r="B536" s="4" t="s">
        <v>445</v>
      </c>
      <c r="C536" s="4" t="s">
        <v>107</v>
      </c>
      <c r="D536" s="4" t="s">
        <v>79</v>
      </c>
      <c r="E536" s="4" t="s">
        <v>91</v>
      </c>
      <c r="F536" s="7" t="n">
        <v>2490.4360288028</v>
      </c>
      <c r="G536" s="7" t="n">
        <v>2158.50386589708</v>
      </c>
      <c r="H536" s="7" t="n">
        <v>12033.0743827304</v>
      </c>
      <c r="I536" s="7" t="n">
        <v>13905.9668288306</v>
      </c>
      <c r="J536" s="7" t="n">
        <v>26197.1826469487</v>
      </c>
      <c r="K536" s="7" t="n">
        <v>9385.21159076645</v>
      </c>
      <c r="L536" s="7" t="n">
        <v>11412.6580392208</v>
      </c>
      <c r="M536" s="7" t="n">
        <v>3262.3302540165</v>
      </c>
      <c r="N536" s="7" t="n">
        <v>24578.6666666667</v>
      </c>
      <c r="O536" s="7" t="n">
        <v>15189.2734762615</v>
      </c>
      <c r="P536" s="7" t="n">
        <v>12316.7117088528</v>
      </c>
      <c r="Q536" s="7" t="n">
        <v>15928.5540976475</v>
      </c>
      <c r="R536" s="7" t="n">
        <v>10829.8238248953</v>
      </c>
      <c r="S536" s="7" t="n">
        <v>15597.9058513873</v>
      </c>
      <c r="T536" s="7" t="n">
        <v>8605.86550557006</v>
      </c>
      <c r="U536" s="7" t="n">
        <v>16686.8702151649</v>
      </c>
      <c r="V536" s="7" t="n">
        <v>19292.0456229487</v>
      </c>
      <c r="W536" s="7" t="n">
        <v>15504.2758613584</v>
      </c>
      <c r="X536" s="7" t="n">
        <v>14942.4562316708</v>
      </c>
      <c r="Y536" s="7" t="n">
        <v>14226.7725201899</v>
      </c>
      <c r="Z536" s="7" t="n">
        <v>7006.29130261427</v>
      </c>
      <c r="AA536" s="7" t="n">
        <v>5212.1888021691</v>
      </c>
      <c r="AB536" s="7" t="n">
        <v>1773.33693466557</v>
      </c>
    </row>
    <row r="537" customFormat="false" ht="15" hidden="false" customHeight="false" outlineLevel="0" collapsed="false">
      <c r="A537" s="4" t="s">
        <v>444</v>
      </c>
      <c r="B537" s="4" t="s">
        <v>445</v>
      </c>
      <c r="C537" s="4" t="s">
        <v>107</v>
      </c>
      <c r="D537" s="4" t="s">
        <v>79</v>
      </c>
      <c r="E537" s="4" t="s">
        <v>92</v>
      </c>
      <c r="F537" s="7" t="n">
        <v>22270.0496799077</v>
      </c>
      <c r="G537" s="7" t="n">
        <v>23535.0275759396</v>
      </c>
      <c r="H537" s="7" t="n">
        <v>10548.8491247309</v>
      </c>
      <c r="I537" s="7" t="n">
        <v>19312.9403884805</v>
      </c>
      <c r="J537" s="7" t="n">
        <v>9935.17077947578</v>
      </c>
      <c r="K537" s="7" t="n">
        <v>23590.7393344932</v>
      </c>
      <c r="L537" s="7" t="n">
        <v>26967.7541778367</v>
      </c>
      <c r="M537" s="7" t="n">
        <v>46650.2914332116</v>
      </c>
      <c r="N537" s="7" t="n">
        <v>30942.16624564</v>
      </c>
      <c r="O537" s="7" t="n">
        <v>17703.5242834306</v>
      </c>
      <c r="P537" s="7" t="n">
        <v>16718.9203777628</v>
      </c>
      <c r="Q537" s="7" t="n">
        <v>21583.288972484</v>
      </c>
      <c r="R537" s="7" t="n">
        <v>13136.1317934618</v>
      </c>
      <c r="S537" s="7" t="n">
        <v>20635.241082506</v>
      </c>
      <c r="T537" s="7" t="n">
        <v>14656.6976058216</v>
      </c>
      <c r="U537" s="7" t="n">
        <v>25377.4482134445</v>
      </c>
      <c r="V537" s="7" t="n">
        <v>26643.0993558747</v>
      </c>
      <c r="W537" s="7" t="n">
        <v>18402.1226376164</v>
      </c>
      <c r="X537" s="7" t="n">
        <v>17716.8632463961</v>
      </c>
      <c r="Y537" s="7" t="n">
        <v>19019.8662599187</v>
      </c>
      <c r="Z537" s="7" t="n">
        <v>9722.1787335409</v>
      </c>
      <c r="AA537" s="7" t="n">
        <v>8945.61608225175</v>
      </c>
      <c r="AB537" s="7" t="n">
        <v>2760.51512630513</v>
      </c>
    </row>
    <row r="538" customFormat="false" ht="15" hidden="false" customHeight="false" outlineLevel="0" collapsed="false">
      <c r="A538" s="4" t="s">
        <v>444</v>
      </c>
      <c r="B538" s="4" t="s">
        <v>445</v>
      </c>
      <c r="C538" s="4" t="s">
        <v>107</v>
      </c>
      <c r="D538" s="4" t="s">
        <v>79</v>
      </c>
      <c r="E538" s="4" t="s">
        <v>93</v>
      </c>
      <c r="F538" s="7" t="n">
        <v>113.234067958559</v>
      </c>
      <c r="G538" s="7" t="n">
        <v>94.3039729429695</v>
      </c>
      <c r="H538" s="7" t="n">
        <v>247.20331145213</v>
      </c>
      <c r="I538" s="7" t="n">
        <v>146.328761447392</v>
      </c>
      <c r="J538" s="7" t="n">
        <v>76.2725393976944</v>
      </c>
      <c r="K538" s="7" t="n">
        <v>131.852564261869</v>
      </c>
      <c r="L538" s="7" t="n">
        <v>99.3883961556062</v>
      </c>
      <c r="M538" s="7" t="n">
        <v>155.697735638001</v>
      </c>
      <c r="N538" s="7" t="n">
        <v>145.492593728455</v>
      </c>
      <c r="O538" s="7" t="n">
        <v>429.736104946225</v>
      </c>
      <c r="P538" s="7" t="n">
        <v>111.498598279376</v>
      </c>
      <c r="Q538" s="7" t="n">
        <v>342.744362488192</v>
      </c>
      <c r="R538" s="7" t="n">
        <v>160.144395748711</v>
      </c>
      <c r="S538" s="7" t="n">
        <v>175.890970900215</v>
      </c>
      <c r="T538" s="7" t="n">
        <v>127.745088934327</v>
      </c>
      <c r="U538" s="7" t="n">
        <v>994.922110193256</v>
      </c>
      <c r="V538" s="7" t="n">
        <v>93.5811742855335</v>
      </c>
      <c r="W538" s="7" t="n">
        <v>263.378794577462</v>
      </c>
      <c r="X538" s="7" t="n">
        <v>1003.07284429449</v>
      </c>
      <c r="Y538" s="7" t="n">
        <v>449.287889945571</v>
      </c>
      <c r="Z538" s="7" t="n">
        <v>62.7401538391113</v>
      </c>
      <c r="AA538" s="7" t="n">
        <v>148.195051277403</v>
      </c>
      <c r="AB538" s="7" t="n">
        <v>1069.24210345256</v>
      </c>
    </row>
    <row r="539" customFormat="false" ht="15" hidden="false" customHeight="false" outlineLevel="0" collapsed="false">
      <c r="A539" s="4" t="s">
        <v>446</v>
      </c>
      <c r="B539" s="4" t="s">
        <v>447</v>
      </c>
      <c r="C539" s="4" t="s">
        <v>146</v>
      </c>
      <c r="D539" s="4" t="s">
        <v>81</v>
      </c>
      <c r="E539" s="4" t="s">
        <v>91</v>
      </c>
      <c r="F539" s="7" t="n">
        <v>28422.3998288529</v>
      </c>
      <c r="G539" s="7" t="n">
        <v>33915.4115565399</v>
      </c>
      <c r="H539" s="7" t="n">
        <v>24659.9171410407</v>
      </c>
      <c r="I539" s="7" t="n">
        <v>38349.5579272974</v>
      </c>
      <c r="J539" s="7" t="n">
        <v>53688.4652444594</v>
      </c>
      <c r="K539" s="7" t="n">
        <v>42162.4303732101</v>
      </c>
      <c r="L539" s="7" t="n">
        <v>40690.6415348708</v>
      </c>
      <c r="M539" s="7" t="n">
        <v>69509.6327348478</v>
      </c>
      <c r="N539" s="7" t="n">
        <v>71317.5099377436</v>
      </c>
      <c r="O539" s="7" t="n">
        <v>49747.4465900546</v>
      </c>
      <c r="P539" s="7" t="n">
        <v>59564.4239671113</v>
      </c>
      <c r="Q539" s="7" t="n">
        <v>88008.0642524094</v>
      </c>
      <c r="R539" s="7" t="n">
        <v>45949.1775541723</v>
      </c>
      <c r="S539" s="7" t="n">
        <v>79964</v>
      </c>
      <c r="T539" s="7" t="n">
        <v>41489.3658304335</v>
      </c>
      <c r="U539" s="7" t="n">
        <v>120810.79215604</v>
      </c>
      <c r="V539" s="7" t="n">
        <v>105014.813133426</v>
      </c>
      <c r="W539" s="7" t="n">
        <v>77185.2645745737</v>
      </c>
      <c r="X539" s="7" t="n">
        <v>34522.3714658081</v>
      </c>
      <c r="Y539" s="7" t="n">
        <v>30053.1156383977</v>
      </c>
      <c r="Z539" s="7" t="n">
        <v>25395.236497826</v>
      </c>
      <c r="AA539" s="7" t="n">
        <v>44156.4914277757</v>
      </c>
      <c r="AB539" s="7" t="n">
        <v>37114.5102971796</v>
      </c>
    </row>
    <row r="540" customFormat="false" ht="15" hidden="false" customHeight="false" outlineLevel="0" collapsed="false">
      <c r="A540" s="4" t="s">
        <v>446</v>
      </c>
      <c r="B540" s="4" t="s">
        <v>447</v>
      </c>
      <c r="C540" s="4" t="s">
        <v>146</v>
      </c>
      <c r="D540" s="4" t="s">
        <v>81</v>
      </c>
      <c r="E540" s="4" t="s">
        <v>92</v>
      </c>
      <c r="F540" s="7" t="n">
        <v>2232.59771225894</v>
      </c>
      <c r="G540" s="7" t="n">
        <v>2227.65823780043</v>
      </c>
      <c r="H540" s="7" t="n">
        <v>2072.54958601187</v>
      </c>
      <c r="I540" s="7" t="n">
        <v>5384.6569081508</v>
      </c>
      <c r="J540" s="7" t="n">
        <v>7718.52766688407</v>
      </c>
      <c r="K540" s="7" t="n">
        <v>5503.62883900283</v>
      </c>
      <c r="L540" s="7" t="n">
        <v>1620.42460309247</v>
      </c>
      <c r="M540" s="7" t="n">
        <v>2524.58950903336</v>
      </c>
      <c r="N540" s="7" t="n">
        <v>2629.18142330082</v>
      </c>
      <c r="O540" s="7" t="n">
        <v>6709.60190650141</v>
      </c>
      <c r="P540" s="7" t="n">
        <v>5725.02405033587</v>
      </c>
      <c r="Q540" s="7" t="n">
        <v>877.300956200138</v>
      </c>
      <c r="R540" s="7" t="n">
        <v>422.981197747624</v>
      </c>
      <c r="S540" s="7" t="n">
        <v>2216.60184938139</v>
      </c>
      <c r="T540" s="7" t="n">
        <v>15411.939513044</v>
      </c>
      <c r="U540" s="7" t="n">
        <v>16546.3276459147</v>
      </c>
      <c r="V540" s="7" t="n">
        <v>11878.0350029694</v>
      </c>
      <c r="W540" s="7" t="n">
        <v>8412.88049775355</v>
      </c>
      <c r="X540" s="7" t="n">
        <v>16109.6135110737</v>
      </c>
      <c r="Y540" s="7" t="n">
        <v>18877.0338020457</v>
      </c>
      <c r="Z540" s="7" t="n">
        <v>22847.16957191</v>
      </c>
      <c r="AA540" s="7" t="n">
        <v>25293.5001163606</v>
      </c>
      <c r="AB540" s="7" t="n">
        <v>24559.2440406843</v>
      </c>
    </row>
    <row r="541" customFormat="false" ht="15" hidden="false" customHeight="false" outlineLevel="0" collapsed="false">
      <c r="A541" s="4" t="s">
        <v>446</v>
      </c>
      <c r="B541" s="4" t="s">
        <v>447</v>
      </c>
      <c r="C541" s="4" t="s">
        <v>146</v>
      </c>
      <c r="D541" s="4" t="s">
        <v>81</v>
      </c>
      <c r="E541" s="4" t="s">
        <v>93</v>
      </c>
      <c r="F541" s="7" t="n">
        <v>8684.46438759398</v>
      </c>
      <c r="G541" s="7" t="n">
        <v>5673.79576343183</v>
      </c>
      <c r="H541" s="7" t="n">
        <v>7562.68816790463</v>
      </c>
      <c r="I541" s="7" t="n">
        <v>13069.2901944713</v>
      </c>
      <c r="J541" s="7" t="n">
        <v>18032.0997174264</v>
      </c>
      <c r="K541" s="7" t="n">
        <v>13426.1147382513</v>
      </c>
      <c r="L541" s="7" t="n">
        <v>17201.3146357282</v>
      </c>
      <c r="M541" s="7" t="n">
        <v>13925.4282975499</v>
      </c>
      <c r="N541" s="7" t="n">
        <v>27421.8843225527</v>
      </c>
      <c r="O541" s="7" t="n">
        <v>22726.230192229</v>
      </c>
      <c r="P541" s="7" t="n">
        <v>21989.0929976166</v>
      </c>
      <c r="Q541" s="7" t="n">
        <v>42813.6257288933</v>
      </c>
      <c r="R541" s="7" t="n">
        <v>46126.0711613979</v>
      </c>
      <c r="S541" s="7" t="n">
        <v>81319.9703886541</v>
      </c>
      <c r="T541" s="7" t="n">
        <v>89689.864497495</v>
      </c>
      <c r="U541" s="7" t="n">
        <v>52343.3333333333</v>
      </c>
      <c r="V541" s="7" t="n">
        <v>56799.9999999999</v>
      </c>
      <c r="W541" s="7" t="n">
        <v>56800</v>
      </c>
      <c r="X541" s="7" t="n">
        <v>56800</v>
      </c>
      <c r="Y541" s="7" t="n">
        <v>56800</v>
      </c>
      <c r="Z541" s="7" t="n">
        <v>56800</v>
      </c>
      <c r="AA541" s="7" t="n">
        <v>56800</v>
      </c>
      <c r="AB541" s="7" t="n">
        <v>46274.1842343721</v>
      </c>
    </row>
    <row r="542" customFormat="false" ht="15" hidden="false" customHeight="false" outlineLevel="0" collapsed="false">
      <c r="A542" s="4" t="s">
        <v>448</v>
      </c>
      <c r="B542" s="4" t="s">
        <v>449</v>
      </c>
      <c r="C542" s="4" t="s">
        <v>115</v>
      </c>
      <c r="D542" s="4" t="s">
        <v>39</v>
      </c>
      <c r="E542" s="4" t="s">
        <v>91</v>
      </c>
      <c r="F542" s="7" t="n">
        <v>40.1574630928412</v>
      </c>
      <c r="G542" s="7" t="n">
        <v>22.5573525496702</v>
      </c>
      <c r="H542" s="7" t="n">
        <v>52.4987376986416</v>
      </c>
      <c r="I542" s="7" t="n">
        <v>81.0951223380145</v>
      </c>
      <c r="J542" s="7" t="n">
        <v>54.5102835430496</v>
      </c>
      <c r="K542" s="7" t="n">
        <v>49.7063445368444</v>
      </c>
      <c r="L542" s="7" t="n">
        <v>15.1333537922737</v>
      </c>
      <c r="M542" s="7" t="n">
        <v>40.8904656990355</v>
      </c>
      <c r="N542" s="7" t="n">
        <v>45.0903997830857</v>
      </c>
      <c r="O542" s="7" t="n">
        <v>48.6517548132596</v>
      </c>
      <c r="P542" s="7" t="n">
        <v>36.4511055184439</v>
      </c>
      <c r="Q542" s="7" t="n">
        <v>48.0755507526115</v>
      </c>
      <c r="R542" s="7" t="n">
        <v>186.333333333333</v>
      </c>
      <c r="S542" s="7" t="n">
        <v>129.333333333333</v>
      </c>
      <c r="T542" s="7" t="n">
        <v>83.6743364736998</v>
      </c>
      <c r="U542" s="7" t="n">
        <v>30.1253306274414</v>
      </c>
      <c r="V542" s="7" t="n">
        <v>23.7996110090867</v>
      </c>
      <c r="W542" s="7" t="n">
        <v>37.6748485713783</v>
      </c>
      <c r="X542" s="7" t="n">
        <v>18.284081905188</v>
      </c>
      <c r="Y542" s="7" t="n">
        <v>36.684891998291</v>
      </c>
      <c r="Z542" s="7" t="n">
        <v>0</v>
      </c>
      <c r="AA542" s="7" t="n">
        <v>0</v>
      </c>
      <c r="AB542" s="7" t="n">
        <v>5.73670746792554</v>
      </c>
    </row>
    <row r="543" customFormat="false" ht="15" hidden="false" customHeight="false" outlineLevel="0" collapsed="false">
      <c r="A543" s="4" t="s">
        <v>448</v>
      </c>
      <c r="B543" s="4" t="s">
        <v>449</v>
      </c>
      <c r="C543" s="4" t="s">
        <v>115</v>
      </c>
      <c r="D543" s="4" t="s">
        <v>39</v>
      </c>
      <c r="E543" s="4" t="s">
        <v>92</v>
      </c>
      <c r="F543" s="7" t="n">
        <v>6.28525334114985</v>
      </c>
      <c r="G543" s="7" t="n">
        <v>4.62794238211407</v>
      </c>
      <c r="H543" s="7" t="n">
        <v>11.5686487945656</v>
      </c>
      <c r="I543" s="7" t="n">
        <v>16.3522906077336</v>
      </c>
      <c r="J543" s="7" t="n">
        <v>6.38633401080493</v>
      </c>
      <c r="K543" s="7" t="n">
        <v>7.54811236623176</v>
      </c>
      <c r="L543" s="7" t="n">
        <v>3.4115161329044</v>
      </c>
      <c r="M543" s="7" t="n">
        <v>9.1959186077727</v>
      </c>
      <c r="N543" s="7" t="n">
        <v>10.4641537928325</v>
      </c>
      <c r="O543" s="7" t="n">
        <v>11.6286189469369</v>
      </c>
      <c r="P543" s="7" t="n">
        <v>8.70251789176984</v>
      </c>
      <c r="Q543" s="7" t="n">
        <v>10.6376194314993</v>
      </c>
      <c r="R543" s="7" t="n">
        <v>39.3022454418185</v>
      </c>
      <c r="S543" s="7" t="n">
        <v>29.7620911746088</v>
      </c>
      <c r="T543" s="7" t="n">
        <v>16.0490720129072</v>
      </c>
      <c r="U543" s="7" t="n">
        <v>22.0058626041821</v>
      </c>
      <c r="V543" s="7" t="n">
        <v>13.3890143583449</v>
      </c>
      <c r="W543" s="7" t="n">
        <v>9.3900039676842</v>
      </c>
      <c r="X543" s="7" t="n">
        <v>13.524642301355</v>
      </c>
      <c r="Y543" s="7" t="n">
        <v>21.537388202811</v>
      </c>
      <c r="Z543" s="7" t="n">
        <v>3.1683045904182</v>
      </c>
      <c r="AA543" s="7" t="n">
        <v>0</v>
      </c>
      <c r="AB543" s="7" t="n">
        <v>9.69920232186871</v>
      </c>
    </row>
    <row r="544" customFormat="false" ht="15" hidden="false" customHeight="false" outlineLevel="0" collapsed="false">
      <c r="A544" s="4" t="s">
        <v>448</v>
      </c>
      <c r="B544" s="4" t="s">
        <v>449</v>
      </c>
      <c r="C544" s="4" t="s">
        <v>115</v>
      </c>
      <c r="D544" s="4" t="s">
        <v>39</v>
      </c>
      <c r="E544" s="4" t="s">
        <v>93</v>
      </c>
      <c r="F544" s="7" t="n">
        <v>0</v>
      </c>
      <c r="G544" s="7" t="n">
        <v>0</v>
      </c>
      <c r="H544" s="7" t="n">
        <v>0</v>
      </c>
      <c r="I544" s="7" t="n">
        <v>0</v>
      </c>
      <c r="J544" s="7" t="n">
        <v>0</v>
      </c>
      <c r="K544" s="7" t="n">
        <v>0</v>
      </c>
      <c r="L544" s="7" t="n">
        <v>0</v>
      </c>
      <c r="M544" s="7" t="n">
        <v>0</v>
      </c>
      <c r="N544" s="7" t="n">
        <v>0</v>
      </c>
      <c r="O544" s="7" t="n">
        <v>0</v>
      </c>
      <c r="P544" s="7" t="n">
        <v>0</v>
      </c>
      <c r="Q544" s="7" t="n">
        <v>0</v>
      </c>
      <c r="R544" s="7" t="n">
        <v>0</v>
      </c>
      <c r="S544" s="7" t="n">
        <v>0</v>
      </c>
      <c r="T544" s="7" t="n">
        <v>0</v>
      </c>
      <c r="U544" s="7" t="n">
        <v>0</v>
      </c>
      <c r="V544" s="7" t="n">
        <v>0</v>
      </c>
      <c r="W544" s="7" t="n">
        <v>0</v>
      </c>
      <c r="X544" s="7" t="n">
        <v>0</v>
      </c>
      <c r="Y544" s="7" t="n">
        <v>0</v>
      </c>
      <c r="Z544" s="7" t="n">
        <v>0</v>
      </c>
      <c r="AA544" s="7" t="n">
        <v>0</v>
      </c>
      <c r="AB544" s="7" t="n">
        <v>0</v>
      </c>
    </row>
    <row r="545" customFormat="false" ht="15" hidden="false" customHeight="false" outlineLevel="0" collapsed="false">
      <c r="A545" s="4" t="s">
        <v>450</v>
      </c>
      <c r="B545" s="4" t="s">
        <v>451</v>
      </c>
      <c r="C545" s="4" t="s">
        <v>99</v>
      </c>
      <c r="D545" s="4" t="s">
        <v>77</v>
      </c>
      <c r="E545" s="4" t="s">
        <v>91</v>
      </c>
      <c r="F545" s="7" t="n">
        <v>0</v>
      </c>
      <c r="G545" s="7" t="n">
        <v>0</v>
      </c>
      <c r="H545" s="7" t="n">
        <v>0.13179444177802</v>
      </c>
      <c r="I545" s="7" t="n">
        <v>0</v>
      </c>
      <c r="J545" s="7" t="n">
        <v>0</v>
      </c>
      <c r="K545" s="7" t="n">
        <v>0</v>
      </c>
      <c r="L545" s="7" t="n">
        <v>0</v>
      </c>
      <c r="M545" s="7" t="n">
        <v>0</v>
      </c>
      <c r="N545" s="7" t="n">
        <v>0</v>
      </c>
      <c r="O545" s="7" t="n">
        <v>0</v>
      </c>
      <c r="P545" s="7" t="n">
        <v>0</v>
      </c>
      <c r="Q545" s="7" t="n">
        <v>0</v>
      </c>
      <c r="R545" s="7" t="n">
        <v>0</v>
      </c>
      <c r="S545" s="7" t="n">
        <v>0</v>
      </c>
      <c r="T545" s="7" t="n">
        <v>0</v>
      </c>
      <c r="U545" s="7" t="n">
        <v>0</v>
      </c>
      <c r="V545" s="7" t="n">
        <v>0</v>
      </c>
      <c r="W545" s="7" t="n">
        <v>0</v>
      </c>
      <c r="X545" s="7" t="n">
        <v>0</v>
      </c>
      <c r="Y545" s="7" t="n">
        <v>0</v>
      </c>
      <c r="Z545" s="7" t="n">
        <v>0</v>
      </c>
      <c r="AA545" s="7" t="n">
        <v>0</v>
      </c>
      <c r="AB545" s="7" t="n">
        <v>0</v>
      </c>
    </row>
    <row r="546" customFormat="false" ht="15" hidden="false" customHeight="false" outlineLevel="0" collapsed="false">
      <c r="A546" s="4" t="s">
        <v>450</v>
      </c>
      <c r="B546" s="4" t="s">
        <v>451</v>
      </c>
      <c r="C546" s="4" t="s">
        <v>99</v>
      </c>
      <c r="D546" s="4" t="s">
        <v>77</v>
      </c>
      <c r="E546" s="4" t="s">
        <v>92</v>
      </c>
      <c r="F546" s="7" t="n">
        <v>0</v>
      </c>
      <c r="G546" s="7" t="n">
        <v>0</v>
      </c>
      <c r="H546" s="7" t="n">
        <v>0.0175484171086992</v>
      </c>
      <c r="I546" s="7" t="n">
        <v>0</v>
      </c>
      <c r="J546" s="7" t="n">
        <v>0</v>
      </c>
      <c r="K546" s="7" t="n">
        <v>0</v>
      </c>
      <c r="L546" s="7" t="n">
        <v>0</v>
      </c>
      <c r="M546" s="7" t="n">
        <v>0</v>
      </c>
      <c r="N546" s="7" t="n">
        <v>0</v>
      </c>
      <c r="O546" s="7" t="n">
        <v>0.0752627868652344</v>
      </c>
      <c r="P546" s="7" t="n">
        <v>0</v>
      </c>
      <c r="Q546" s="7" t="n">
        <v>0</v>
      </c>
      <c r="R546" s="7" t="n">
        <v>0</v>
      </c>
      <c r="S546" s="7" t="n">
        <v>0</v>
      </c>
      <c r="T546" s="7" t="n">
        <v>0</v>
      </c>
      <c r="U546" s="7" t="n">
        <v>0</v>
      </c>
      <c r="V546" s="7" t="n">
        <v>0</v>
      </c>
      <c r="W546" s="7" t="n">
        <v>0</v>
      </c>
      <c r="X546" s="7" t="n">
        <v>0</v>
      </c>
      <c r="Y546" s="7" t="n">
        <v>0</v>
      </c>
      <c r="Z546" s="7" t="n">
        <v>0</v>
      </c>
      <c r="AA546" s="7" t="n">
        <v>0</v>
      </c>
      <c r="AB546" s="7" t="n">
        <v>0</v>
      </c>
    </row>
    <row r="547" customFormat="false" ht="15" hidden="false" customHeight="false" outlineLevel="0" collapsed="false">
      <c r="A547" s="4" t="s">
        <v>450</v>
      </c>
      <c r="B547" s="4" t="s">
        <v>451</v>
      </c>
      <c r="C547" s="4" t="s">
        <v>99</v>
      </c>
      <c r="D547" s="4" t="s">
        <v>77</v>
      </c>
      <c r="E547" s="4" t="s">
        <v>93</v>
      </c>
      <c r="F547" s="7" t="n">
        <v>0</v>
      </c>
      <c r="G547" s="7" t="n">
        <v>0</v>
      </c>
      <c r="H547" s="7" t="n">
        <v>0</v>
      </c>
      <c r="I547" s="7" t="n">
        <v>0</v>
      </c>
      <c r="J547" s="7" t="n">
        <v>0</v>
      </c>
      <c r="K547" s="7" t="n">
        <v>0</v>
      </c>
      <c r="L547" s="7" t="n">
        <v>0</v>
      </c>
      <c r="M547" s="7" t="n">
        <v>0</v>
      </c>
      <c r="N547" s="7" t="n">
        <v>0</v>
      </c>
      <c r="O547" s="7" t="n">
        <v>0</v>
      </c>
      <c r="P547" s="7" t="n">
        <v>0</v>
      </c>
      <c r="Q547" s="7" t="n">
        <v>0</v>
      </c>
      <c r="R547" s="7" t="n">
        <v>0</v>
      </c>
      <c r="S547" s="7" t="n">
        <v>0</v>
      </c>
      <c r="T547" s="7" t="n">
        <v>0</v>
      </c>
      <c r="U547" s="7" t="n">
        <v>0</v>
      </c>
      <c r="V547" s="7" t="n">
        <v>0</v>
      </c>
      <c r="W547" s="7" t="n">
        <v>0</v>
      </c>
      <c r="X547" s="7" t="n">
        <v>0</v>
      </c>
      <c r="Y547" s="7" t="n">
        <v>0</v>
      </c>
      <c r="Z547" s="7" t="n">
        <v>0</v>
      </c>
      <c r="AA547" s="7" t="n">
        <v>0</v>
      </c>
      <c r="AB547" s="7" t="n">
        <v>0</v>
      </c>
    </row>
    <row r="548" customFormat="false" ht="15" hidden="false" customHeight="false" outlineLevel="0" collapsed="false">
      <c r="A548" s="4" t="s">
        <v>452</v>
      </c>
      <c r="B548" s="4" t="s">
        <v>453</v>
      </c>
      <c r="C548" s="4" t="s">
        <v>101</v>
      </c>
      <c r="D548" s="4" t="s">
        <v>69</v>
      </c>
      <c r="E548" s="4" t="s">
        <v>91</v>
      </c>
      <c r="F548" s="7" t="n">
        <v>1934.58843019206</v>
      </c>
      <c r="G548" s="7" t="n">
        <v>637.700775585938</v>
      </c>
      <c r="H548" s="7" t="n">
        <v>743.352851914469</v>
      </c>
      <c r="I548" s="7" t="n">
        <v>572.75224173584</v>
      </c>
      <c r="J548" s="7" t="n">
        <v>1399.84847798809</v>
      </c>
      <c r="K548" s="7" t="n">
        <v>4653.50100612293</v>
      </c>
      <c r="L548" s="7" t="n">
        <v>1947.92906397173</v>
      </c>
      <c r="M548" s="7" t="n">
        <v>818.869255881683</v>
      </c>
      <c r="N548" s="7" t="n">
        <v>1052.99078127441</v>
      </c>
      <c r="O548" s="7" t="n">
        <v>893.68072132633</v>
      </c>
      <c r="P548" s="7" t="n">
        <v>1234.75174219578</v>
      </c>
      <c r="Q548" s="7" t="n">
        <v>2933.46747669726</v>
      </c>
      <c r="R548" s="7" t="n">
        <v>2934.52303953399</v>
      </c>
      <c r="S548" s="7" t="n">
        <v>4002.50347766296</v>
      </c>
      <c r="T548" s="7" t="n">
        <v>2382.50273889541</v>
      </c>
      <c r="U548" s="7" t="n">
        <v>4310.14494002498</v>
      </c>
      <c r="V548" s="7" t="n">
        <v>2671.67034547278</v>
      </c>
      <c r="W548" s="7" t="n">
        <v>1755.73213015559</v>
      </c>
      <c r="X548" s="7" t="n">
        <v>1244.87525996392</v>
      </c>
      <c r="Y548" s="7" t="n">
        <v>1067.53565850263</v>
      </c>
      <c r="Z548" s="7" t="n">
        <v>1289.16089085714</v>
      </c>
      <c r="AA548" s="7" t="n">
        <v>888.611168728693</v>
      </c>
      <c r="AB548" s="7" t="n">
        <v>658.624645040036</v>
      </c>
    </row>
    <row r="549" customFormat="false" ht="15" hidden="false" customHeight="false" outlineLevel="0" collapsed="false">
      <c r="A549" s="4" t="s">
        <v>452</v>
      </c>
      <c r="B549" s="4" t="s">
        <v>453</v>
      </c>
      <c r="C549" s="4" t="s">
        <v>101</v>
      </c>
      <c r="D549" s="4" t="s">
        <v>69</v>
      </c>
      <c r="E549" s="4" t="s">
        <v>92</v>
      </c>
      <c r="F549" s="7" t="n">
        <v>4941.06287026815</v>
      </c>
      <c r="G549" s="7" t="n">
        <v>3115.31723010326</v>
      </c>
      <c r="H549" s="7" t="n">
        <v>4599.39683131283</v>
      </c>
      <c r="I549" s="7" t="n">
        <v>6863.41847527038</v>
      </c>
      <c r="J549" s="7" t="n">
        <v>4700.71682573869</v>
      </c>
      <c r="K549" s="7" t="n">
        <v>2781.14615129669</v>
      </c>
      <c r="L549" s="7" t="n">
        <v>4967.36792411614</v>
      </c>
      <c r="M549" s="7" t="n">
        <v>5058.12744778301</v>
      </c>
      <c r="N549" s="7" t="n">
        <v>4643.5231992873</v>
      </c>
      <c r="O549" s="7" t="n">
        <v>3458.33785395536</v>
      </c>
      <c r="P549" s="7" t="n">
        <v>4281.98075689068</v>
      </c>
      <c r="Q549" s="7" t="n">
        <v>3248.93333284912</v>
      </c>
      <c r="R549" s="7" t="n">
        <v>4105.82471938318</v>
      </c>
      <c r="S549" s="7" t="n">
        <v>5051.1476455277</v>
      </c>
      <c r="T549" s="7" t="n">
        <v>4378.78093265153</v>
      </c>
      <c r="U549" s="7" t="n">
        <v>5606.39635812675</v>
      </c>
      <c r="V549" s="7" t="n">
        <v>7557.89983595365</v>
      </c>
      <c r="W549" s="7" t="n">
        <v>6792.00533163569</v>
      </c>
      <c r="X549" s="7" t="n">
        <v>5522.77103584768</v>
      </c>
      <c r="Y549" s="7" t="n">
        <v>6242.71799573048</v>
      </c>
      <c r="Z549" s="7" t="n">
        <v>4901.90378202925</v>
      </c>
      <c r="AA549" s="7" t="n">
        <v>3573.370973931</v>
      </c>
      <c r="AB549" s="7" t="n">
        <v>3036.37010664971</v>
      </c>
    </row>
    <row r="550" customFormat="false" ht="15" hidden="false" customHeight="false" outlineLevel="0" collapsed="false">
      <c r="A550" s="4" t="s">
        <v>452</v>
      </c>
      <c r="B550" s="4" t="s">
        <v>453</v>
      </c>
      <c r="C550" s="4" t="s">
        <v>101</v>
      </c>
      <c r="D550" s="4" t="s">
        <v>69</v>
      </c>
      <c r="E550" s="4" t="s">
        <v>93</v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7" t="n">
        <v>0</v>
      </c>
      <c r="L550" s="7" t="n">
        <v>0</v>
      </c>
      <c r="M550" s="7" t="n">
        <v>0</v>
      </c>
      <c r="N550" s="7" t="n">
        <v>0</v>
      </c>
      <c r="O550" s="7" t="n">
        <v>0</v>
      </c>
      <c r="P550" s="7" t="n">
        <v>0</v>
      </c>
      <c r="Q550" s="7" t="n">
        <v>0</v>
      </c>
      <c r="R550" s="7" t="n">
        <v>0</v>
      </c>
      <c r="S550" s="7" t="n">
        <v>0</v>
      </c>
      <c r="T550" s="7" t="n">
        <v>0</v>
      </c>
      <c r="U550" s="7" t="n">
        <v>0</v>
      </c>
      <c r="V550" s="7" t="n">
        <v>0</v>
      </c>
      <c r="W550" s="7" t="n">
        <v>0</v>
      </c>
      <c r="X550" s="7" t="n">
        <v>0</v>
      </c>
      <c r="Y550" s="7" t="n">
        <v>0</v>
      </c>
      <c r="Z550" s="7" t="n">
        <v>0</v>
      </c>
      <c r="AA550" s="7" t="n">
        <v>0</v>
      </c>
      <c r="AB550" s="7" t="n">
        <v>0</v>
      </c>
    </row>
    <row r="551" customFormat="false" ht="15" hidden="false" customHeight="false" outlineLevel="0" collapsed="false">
      <c r="A551" s="4" t="s">
        <v>454</v>
      </c>
      <c r="B551" s="4" t="s">
        <v>455</v>
      </c>
      <c r="C551" s="4" t="s">
        <v>101</v>
      </c>
      <c r="D551" s="4" t="s">
        <v>65</v>
      </c>
      <c r="E551" s="4" t="s">
        <v>91</v>
      </c>
      <c r="F551" s="7" t="n">
        <v>5393.04830015748</v>
      </c>
      <c r="G551" s="7" t="n">
        <v>16513.6390422079</v>
      </c>
      <c r="H551" s="7" t="n">
        <v>14858.7242729934</v>
      </c>
      <c r="I551" s="7" t="n">
        <v>11145.0411893585</v>
      </c>
      <c r="J551" s="7" t="n">
        <v>27544.5251354039</v>
      </c>
      <c r="K551" s="7" t="n">
        <v>19538.9546312426</v>
      </c>
      <c r="L551" s="7" t="n">
        <v>21368.7150346706</v>
      </c>
      <c r="M551" s="7" t="n">
        <v>36840.3768628706</v>
      </c>
      <c r="N551" s="7" t="n">
        <v>62240.0253980032</v>
      </c>
      <c r="O551" s="7" t="n">
        <v>78569.6666666667</v>
      </c>
      <c r="P551" s="7" t="n">
        <v>27296.147264086</v>
      </c>
      <c r="Q551" s="7" t="n">
        <v>41334.6666666667</v>
      </c>
      <c r="R551" s="7" t="n">
        <v>24778.5823864787</v>
      </c>
      <c r="S551" s="7" t="n">
        <v>49952.7949439704</v>
      </c>
      <c r="T551" s="7" t="n">
        <v>32148.9058209306</v>
      </c>
      <c r="U551" s="7" t="n">
        <v>43202.3333333333</v>
      </c>
      <c r="V551" s="7" t="n">
        <v>21933.1517455546</v>
      </c>
      <c r="W551" s="7" t="n">
        <v>10791.2310094317</v>
      </c>
      <c r="X551" s="7" t="n">
        <v>7301.71752368075</v>
      </c>
      <c r="Y551" s="7" t="n">
        <v>4074.35819766695</v>
      </c>
      <c r="Z551" s="7" t="n">
        <v>4301.66242657751</v>
      </c>
      <c r="AA551" s="7" t="n">
        <v>4297.87654845328</v>
      </c>
      <c r="AB551" s="7" t="n">
        <v>4224.63239089925</v>
      </c>
    </row>
    <row r="552" customFormat="false" ht="15" hidden="false" customHeight="false" outlineLevel="0" collapsed="false">
      <c r="A552" s="4" t="s">
        <v>454</v>
      </c>
      <c r="B552" s="4" t="s">
        <v>455</v>
      </c>
      <c r="C552" s="4" t="s">
        <v>101</v>
      </c>
      <c r="D552" s="4" t="s">
        <v>65</v>
      </c>
      <c r="E552" s="4" t="s">
        <v>92</v>
      </c>
      <c r="F552" s="7" t="n">
        <v>5937.72036118362</v>
      </c>
      <c r="G552" s="7" t="n">
        <v>2414.54158712803</v>
      </c>
      <c r="H552" s="7" t="n">
        <v>2247.36119158123</v>
      </c>
      <c r="I552" s="7" t="n">
        <v>2035.65466228912</v>
      </c>
      <c r="J552" s="7" t="n">
        <v>1261.21569782692</v>
      </c>
      <c r="K552" s="7" t="n">
        <v>715.33569316619</v>
      </c>
      <c r="L552" s="7" t="n">
        <v>1006.19592999203</v>
      </c>
      <c r="M552" s="7" t="n">
        <v>728.213106489497</v>
      </c>
      <c r="N552" s="7" t="n">
        <v>1945.00184620674</v>
      </c>
      <c r="O552" s="7" t="n">
        <v>1147.31385364718</v>
      </c>
      <c r="P552" s="7" t="n">
        <v>1092.46723911899</v>
      </c>
      <c r="Q552" s="7" t="n">
        <v>3219.64861250346</v>
      </c>
      <c r="R552" s="7" t="n">
        <v>2064.60785463252</v>
      </c>
      <c r="S552" s="7" t="n">
        <v>935.924112559464</v>
      </c>
      <c r="T552" s="7" t="n">
        <v>685.741040610281</v>
      </c>
      <c r="U552" s="7" t="n">
        <v>1832.91651641548</v>
      </c>
      <c r="V552" s="7" t="n">
        <v>10345.9096404794</v>
      </c>
      <c r="W552" s="7" t="n">
        <v>10988.7677649444</v>
      </c>
      <c r="X552" s="7" t="n">
        <v>11733.391606742</v>
      </c>
      <c r="Y552" s="7" t="n">
        <v>13338.6700478562</v>
      </c>
      <c r="Z552" s="7" t="n">
        <v>12540.4469211184</v>
      </c>
      <c r="AA552" s="7" t="n">
        <v>17928.2307409879</v>
      </c>
      <c r="AB552" s="7" t="n">
        <v>14602.4492366542</v>
      </c>
    </row>
    <row r="553" customFormat="false" ht="15" hidden="false" customHeight="false" outlineLevel="0" collapsed="false">
      <c r="A553" s="4" t="s">
        <v>454</v>
      </c>
      <c r="B553" s="4" t="s">
        <v>455</v>
      </c>
      <c r="C553" s="4" t="s">
        <v>101</v>
      </c>
      <c r="D553" s="4" t="s">
        <v>65</v>
      </c>
      <c r="E553" s="4" t="s">
        <v>93</v>
      </c>
      <c r="F553" s="7" t="n">
        <v>0</v>
      </c>
      <c r="G553" s="7" t="n">
        <v>0</v>
      </c>
      <c r="H553" s="7" t="n">
        <v>0</v>
      </c>
      <c r="I553" s="7" t="n">
        <v>0</v>
      </c>
      <c r="J553" s="7" t="n">
        <v>0</v>
      </c>
      <c r="K553" s="7" t="n">
        <v>0</v>
      </c>
      <c r="L553" s="7" t="n">
        <v>0</v>
      </c>
      <c r="M553" s="7" t="n">
        <v>0</v>
      </c>
      <c r="N553" s="7" t="n">
        <v>0</v>
      </c>
      <c r="O553" s="7" t="n">
        <v>0</v>
      </c>
      <c r="P553" s="7" t="n">
        <v>0</v>
      </c>
      <c r="Q553" s="7" t="n">
        <v>0</v>
      </c>
      <c r="R553" s="7" t="n">
        <v>0</v>
      </c>
      <c r="S553" s="7" t="n">
        <v>0</v>
      </c>
      <c r="T553" s="7" t="n">
        <v>0</v>
      </c>
      <c r="U553" s="7" t="n">
        <v>0</v>
      </c>
      <c r="V553" s="7" t="n">
        <v>0</v>
      </c>
      <c r="W553" s="7" t="n">
        <v>0</v>
      </c>
      <c r="X553" s="7" t="n">
        <v>0</v>
      </c>
      <c r="Y553" s="7" t="n">
        <v>0</v>
      </c>
      <c r="Z553" s="7" t="n">
        <v>0</v>
      </c>
      <c r="AA553" s="7" t="n">
        <v>0</v>
      </c>
      <c r="AB553" s="7" t="n">
        <v>0</v>
      </c>
    </row>
    <row r="554" customFormat="false" ht="15" hidden="false" customHeight="false" outlineLevel="0" collapsed="false">
      <c r="A554" s="4" t="s">
        <v>456</v>
      </c>
      <c r="B554" s="4" t="s">
        <v>457</v>
      </c>
      <c r="C554" s="4" t="s">
        <v>101</v>
      </c>
      <c r="D554" s="4" t="s">
        <v>61</v>
      </c>
      <c r="E554" s="4" t="s">
        <v>91</v>
      </c>
      <c r="F554" s="7" t="n">
        <v>1779.43648850182</v>
      </c>
      <c r="G554" s="7" t="n">
        <v>2615.83824402464</v>
      </c>
      <c r="H554" s="7" t="n">
        <v>2118.99677502509</v>
      </c>
      <c r="I554" s="7" t="n">
        <v>3380.45560238575</v>
      </c>
      <c r="J554" s="7" t="n">
        <v>6399.3098475695</v>
      </c>
      <c r="K554" s="7" t="n">
        <v>2822.99552241269</v>
      </c>
      <c r="L554" s="7" t="n">
        <v>3788.73262436308</v>
      </c>
      <c r="M554" s="7" t="n">
        <v>3032.76023623733</v>
      </c>
      <c r="N554" s="7" t="n">
        <v>9693.10359455559</v>
      </c>
      <c r="O554" s="7" t="n">
        <v>4299.08114856701</v>
      </c>
      <c r="P554" s="7" t="n">
        <v>2741.77464859423</v>
      </c>
      <c r="Q554" s="7" t="n">
        <v>6395.59217861108</v>
      </c>
      <c r="R554" s="7" t="n">
        <v>2153.27787287586</v>
      </c>
      <c r="S554" s="7" t="n">
        <v>2710.5658456367</v>
      </c>
      <c r="T554" s="7" t="n">
        <v>2658.28824391759</v>
      </c>
      <c r="U554" s="7" t="n">
        <v>2577.63269221449</v>
      </c>
      <c r="V554" s="7" t="n">
        <v>3650.88037521332</v>
      </c>
      <c r="W554" s="7" t="n">
        <v>947.935844269117</v>
      </c>
      <c r="X554" s="7" t="n">
        <v>953.343167390336</v>
      </c>
      <c r="Y554" s="7" t="n">
        <v>352.930917396932</v>
      </c>
      <c r="Z554" s="7" t="n">
        <v>836.533229786995</v>
      </c>
      <c r="AA554" s="7" t="n">
        <v>400.648999126489</v>
      </c>
      <c r="AB554" s="7" t="n">
        <v>421.17258283258</v>
      </c>
    </row>
    <row r="555" customFormat="false" ht="15" hidden="false" customHeight="false" outlineLevel="0" collapsed="false">
      <c r="A555" s="4" t="s">
        <v>456</v>
      </c>
      <c r="B555" s="4" t="s">
        <v>457</v>
      </c>
      <c r="C555" s="4" t="s">
        <v>101</v>
      </c>
      <c r="D555" s="4" t="s">
        <v>61</v>
      </c>
      <c r="E555" s="4" t="s">
        <v>92</v>
      </c>
      <c r="F555" s="7" t="n">
        <v>1857.57481154253</v>
      </c>
      <c r="G555" s="7" t="n">
        <v>1708.32909065173</v>
      </c>
      <c r="H555" s="7" t="n">
        <v>717.897979968091</v>
      </c>
      <c r="I555" s="7" t="n">
        <v>434.82354364584</v>
      </c>
      <c r="J555" s="7" t="n">
        <v>552.853372098471</v>
      </c>
      <c r="K555" s="7" t="n">
        <v>1235.95198558667</v>
      </c>
      <c r="L555" s="7" t="n">
        <v>1783.28704996594</v>
      </c>
      <c r="M555" s="7" t="n">
        <v>858.371991393506</v>
      </c>
      <c r="N555" s="7" t="n">
        <v>2999.33645453563</v>
      </c>
      <c r="O555" s="7" t="n">
        <v>401.193382112542</v>
      </c>
      <c r="P555" s="7" t="n">
        <v>1007.40327274026</v>
      </c>
      <c r="Q555" s="7" t="n">
        <v>757.163240153591</v>
      </c>
      <c r="R555" s="7" t="n">
        <v>214.862927693845</v>
      </c>
      <c r="S555" s="7" t="n">
        <v>184.752593480401</v>
      </c>
      <c r="T555" s="7" t="n">
        <v>180.226372508791</v>
      </c>
      <c r="U555" s="7" t="n">
        <v>212.977610266551</v>
      </c>
      <c r="V555" s="7" t="n">
        <v>656.310041303151</v>
      </c>
      <c r="W555" s="7" t="n">
        <v>363.977875499811</v>
      </c>
      <c r="X555" s="7" t="n">
        <v>639.961111289007</v>
      </c>
      <c r="Y555" s="7" t="n">
        <v>444.608110315758</v>
      </c>
      <c r="Z555" s="7" t="n">
        <v>699.284693002599</v>
      </c>
      <c r="AA555" s="7" t="n">
        <v>449.312671245419</v>
      </c>
      <c r="AB555" s="7" t="n">
        <v>443.698287680307</v>
      </c>
    </row>
    <row r="556" customFormat="false" ht="15" hidden="false" customHeight="false" outlineLevel="0" collapsed="false">
      <c r="A556" s="4" t="s">
        <v>456</v>
      </c>
      <c r="B556" s="4" t="s">
        <v>457</v>
      </c>
      <c r="C556" s="4" t="s">
        <v>101</v>
      </c>
      <c r="D556" s="4" t="s">
        <v>61</v>
      </c>
      <c r="E556" s="4" t="s">
        <v>93</v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7" t="n">
        <v>0</v>
      </c>
      <c r="L556" s="7" t="n">
        <v>0</v>
      </c>
      <c r="M556" s="7" t="n">
        <v>0</v>
      </c>
      <c r="N556" s="7" t="n">
        <v>0</v>
      </c>
      <c r="O556" s="7" t="n">
        <v>0</v>
      </c>
      <c r="P556" s="7" t="n">
        <v>0</v>
      </c>
      <c r="Q556" s="7" t="n">
        <v>0</v>
      </c>
      <c r="R556" s="7" t="n">
        <v>0</v>
      </c>
      <c r="S556" s="7" t="n">
        <v>0</v>
      </c>
      <c r="T556" s="7" t="n">
        <v>0</v>
      </c>
      <c r="U556" s="7" t="n">
        <v>0</v>
      </c>
      <c r="V556" s="7" t="n">
        <v>0</v>
      </c>
      <c r="W556" s="7" t="n">
        <v>0</v>
      </c>
      <c r="X556" s="7" t="n">
        <v>0</v>
      </c>
      <c r="Y556" s="7" t="n">
        <v>0</v>
      </c>
      <c r="Z556" s="7" t="n">
        <v>0</v>
      </c>
      <c r="AA556" s="7" t="n">
        <v>0</v>
      </c>
      <c r="AB556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5" min="5" style="0" width="44"/>
    <col collapsed="false" customWidth="true" hidden="false" outlineLevel="0" max="6" min="6" style="0" width="16"/>
  </cols>
  <sheetData>
    <row r="1" customFormat="false" ht="35.05" hidden="false" customHeight="false" outlineLevel="0" collapsed="false">
      <c r="A1" s="3" t="s">
        <v>94</v>
      </c>
      <c r="B1" s="3" t="s">
        <v>458</v>
      </c>
      <c r="C1" s="3" t="s">
        <v>96</v>
      </c>
      <c r="D1" s="3" t="s">
        <v>28</v>
      </c>
      <c r="E1" s="3" t="s">
        <v>459</v>
      </c>
      <c r="F1" s="3" t="s">
        <v>460</v>
      </c>
      <c r="G1" s="3" t="s">
        <v>461</v>
      </c>
      <c r="H1" s="3" t="s">
        <v>462</v>
      </c>
      <c r="I1" s="3" t="s">
        <v>463</v>
      </c>
    </row>
    <row r="2" customFormat="false" ht="15" hidden="false" customHeight="false" outlineLevel="0" collapsed="false">
      <c r="A2" s="4" t="s">
        <v>97</v>
      </c>
      <c r="B2" s="4" t="s">
        <v>98</v>
      </c>
      <c r="C2" s="4" t="s">
        <v>99</v>
      </c>
      <c r="D2" s="4" t="s">
        <v>81</v>
      </c>
      <c r="E2" s="4" t="s">
        <v>82</v>
      </c>
      <c r="F2" s="4" t="s">
        <v>464</v>
      </c>
      <c r="G2" s="7" t="n">
        <v>219.627365237938</v>
      </c>
      <c r="H2" s="7" t="n">
        <v>43.1832651030453</v>
      </c>
      <c r="I2" s="7" t="n">
        <v>0</v>
      </c>
    </row>
    <row r="3" customFormat="false" ht="15" hidden="false" customHeight="false" outlineLevel="0" collapsed="false">
      <c r="A3" s="4" t="s">
        <v>100</v>
      </c>
      <c r="B3" s="4" t="s">
        <v>74</v>
      </c>
      <c r="C3" s="4" t="s">
        <v>101</v>
      </c>
      <c r="D3" s="4" t="s">
        <v>73</v>
      </c>
      <c r="E3" s="4" t="s">
        <v>74</v>
      </c>
      <c r="F3" s="4" t="s">
        <v>465</v>
      </c>
      <c r="G3" s="7" t="n">
        <v>757535.325449368</v>
      </c>
      <c r="H3" s="7" t="n">
        <v>466128.703283685</v>
      </c>
      <c r="I3" s="7" t="n">
        <v>0</v>
      </c>
    </row>
    <row r="4" customFormat="false" ht="15" hidden="false" customHeight="false" outlineLevel="0" collapsed="false">
      <c r="A4" s="4" t="s">
        <v>102</v>
      </c>
      <c r="B4" s="4" t="s">
        <v>103</v>
      </c>
      <c r="C4" s="4" t="s">
        <v>104</v>
      </c>
      <c r="D4" s="4" t="s">
        <v>43</v>
      </c>
      <c r="E4" s="4" t="s">
        <v>44</v>
      </c>
      <c r="F4" s="4" t="s">
        <v>466</v>
      </c>
      <c r="G4" s="7" t="n">
        <v>2357.26076960988</v>
      </c>
      <c r="H4" s="7" t="n">
        <v>821.97419840671</v>
      </c>
      <c r="I4" s="7" t="n">
        <v>3890.42207451266</v>
      </c>
    </row>
    <row r="5" customFormat="false" ht="15" hidden="false" customHeight="false" outlineLevel="0" collapsed="false">
      <c r="A5" s="4" t="s">
        <v>105</v>
      </c>
      <c r="B5" s="4" t="s">
        <v>106</v>
      </c>
      <c r="C5" s="4" t="s">
        <v>107</v>
      </c>
      <c r="D5" s="4" t="s">
        <v>79</v>
      </c>
      <c r="E5" s="4" t="s">
        <v>80</v>
      </c>
      <c r="F5" s="4" t="s">
        <v>467</v>
      </c>
      <c r="G5" s="7" t="n">
        <v>4245921.18536741</v>
      </c>
      <c r="H5" s="7" t="n">
        <v>162941.227437756</v>
      </c>
      <c r="I5" s="7" t="n">
        <v>275099.094127299</v>
      </c>
    </row>
    <row r="6" customFormat="false" ht="15" hidden="false" customHeight="false" outlineLevel="0" collapsed="false">
      <c r="A6" s="4" t="s">
        <v>108</v>
      </c>
      <c r="B6" s="4" t="s">
        <v>109</v>
      </c>
      <c r="C6" s="4" t="s">
        <v>99</v>
      </c>
      <c r="D6" s="4" t="s">
        <v>43</v>
      </c>
      <c r="E6" s="4" t="s">
        <v>44</v>
      </c>
      <c r="F6" s="4" t="s">
        <v>468</v>
      </c>
      <c r="G6" s="7" t="n">
        <v>189.906292982991</v>
      </c>
      <c r="H6" s="7" t="n">
        <v>151.690165695993</v>
      </c>
      <c r="I6" s="7" t="n">
        <v>0</v>
      </c>
    </row>
    <row r="7" customFormat="false" ht="15" hidden="false" customHeight="false" outlineLevel="0" collapsed="false">
      <c r="A7" s="4" t="s">
        <v>110</v>
      </c>
      <c r="B7" s="4" t="s">
        <v>111</v>
      </c>
      <c r="C7" s="4" t="s">
        <v>112</v>
      </c>
      <c r="D7" s="4" t="s">
        <v>79</v>
      </c>
      <c r="E7" s="4" t="s">
        <v>80</v>
      </c>
      <c r="F7" s="4" t="s">
        <v>469</v>
      </c>
      <c r="G7" s="7" t="n">
        <v>103.594508157413</v>
      </c>
      <c r="H7" s="7" t="n">
        <v>45.4940174607176</v>
      </c>
      <c r="I7" s="7" t="n">
        <v>0</v>
      </c>
    </row>
    <row r="8" customFormat="false" ht="15" hidden="false" customHeight="false" outlineLevel="0" collapsed="false">
      <c r="A8" s="4" t="s">
        <v>113</v>
      </c>
      <c r="B8" s="4" t="s">
        <v>114</v>
      </c>
      <c r="C8" s="4" t="s">
        <v>115</v>
      </c>
      <c r="D8" s="4" t="s">
        <v>39</v>
      </c>
      <c r="E8" s="4" t="s">
        <v>40</v>
      </c>
      <c r="F8" s="4" t="s">
        <v>470</v>
      </c>
      <c r="G8" s="7" t="n">
        <v>111614.71686385</v>
      </c>
      <c r="H8" s="7" t="n">
        <v>68500.7357930283</v>
      </c>
      <c r="I8" s="7" t="n">
        <v>225610.018152831</v>
      </c>
    </row>
    <row r="9" customFormat="false" ht="15" hidden="false" customHeight="false" outlineLevel="0" collapsed="false">
      <c r="A9" s="4" t="s">
        <v>116</v>
      </c>
      <c r="B9" s="4" t="s">
        <v>117</v>
      </c>
      <c r="C9" s="4" t="s">
        <v>104</v>
      </c>
      <c r="D9" s="4" t="s">
        <v>41</v>
      </c>
      <c r="E9" s="4" t="s">
        <v>42</v>
      </c>
      <c r="F9" s="4" t="s">
        <v>471</v>
      </c>
      <c r="G9" s="7" t="n">
        <v>1191.32465142424</v>
      </c>
      <c r="H9" s="7" t="n">
        <v>231.864197918235</v>
      </c>
      <c r="I9" s="7" t="n">
        <v>0</v>
      </c>
    </row>
    <row r="10" customFormat="false" ht="15" hidden="false" customHeight="false" outlineLevel="0" collapsed="false">
      <c r="A10" s="4" t="s">
        <v>118</v>
      </c>
      <c r="B10" s="4" t="s">
        <v>119</v>
      </c>
      <c r="C10" s="4" t="s">
        <v>99</v>
      </c>
      <c r="D10" s="4" t="s">
        <v>43</v>
      </c>
      <c r="E10" s="4" t="s">
        <v>44</v>
      </c>
      <c r="F10" s="4" t="s">
        <v>472</v>
      </c>
      <c r="G10" s="7" t="n">
        <v>1056.50742436048</v>
      </c>
      <c r="H10" s="7" t="n">
        <v>425.300627454864</v>
      </c>
      <c r="I10" s="7" t="n">
        <v>162.193675131138</v>
      </c>
    </row>
    <row r="11" customFormat="false" ht="15" hidden="false" customHeight="false" outlineLevel="0" collapsed="false">
      <c r="A11" s="4" t="s">
        <v>120</v>
      </c>
      <c r="B11" s="4" t="s">
        <v>121</v>
      </c>
      <c r="C11" s="4" t="s">
        <v>101</v>
      </c>
      <c r="D11" s="4" t="s">
        <v>61</v>
      </c>
      <c r="E11" s="4" t="s">
        <v>62</v>
      </c>
      <c r="F11" s="4" t="s">
        <v>473</v>
      </c>
      <c r="G11" s="7" t="n">
        <v>10421.6851803879</v>
      </c>
      <c r="H11" s="7" t="n">
        <v>965.000425803859</v>
      </c>
      <c r="I11" s="7" t="n">
        <v>0</v>
      </c>
    </row>
    <row r="12" customFormat="false" ht="15" hidden="false" customHeight="false" outlineLevel="0" collapsed="false">
      <c r="A12" s="4" t="s">
        <v>122</v>
      </c>
      <c r="B12" s="4" t="s">
        <v>123</v>
      </c>
      <c r="C12" s="4" t="s">
        <v>104</v>
      </c>
      <c r="D12" s="4" t="s">
        <v>41</v>
      </c>
      <c r="E12" s="4" t="s">
        <v>42</v>
      </c>
      <c r="F12" s="4" t="s">
        <v>474</v>
      </c>
      <c r="G12" s="7" t="n">
        <v>1418.76489279639</v>
      </c>
      <c r="H12" s="7" t="n">
        <v>112.052506188065</v>
      </c>
      <c r="I12" s="7" t="n">
        <v>7928.18940533202</v>
      </c>
    </row>
    <row r="13" customFormat="false" ht="15" hidden="false" customHeight="false" outlineLevel="0" collapsed="false">
      <c r="A13" s="4" t="s">
        <v>124</v>
      </c>
      <c r="B13" s="4" t="s">
        <v>125</v>
      </c>
      <c r="C13" s="4" t="s">
        <v>101</v>
      </c>
      <c r="D13" s="4" t="s">
        <v>57</v>
      </c>
      <c r="E13" s="4" t="s">
        <v>58</v>
      </c>
      <c r="F13" s="4" t="s">
        <v>475</v>
      </c>
      <c r="G13" s="7" t="n">
        <v>25915.9917208008</v>
      </c>
      <c r="H13" s="7" t="n">
        <v>5345.19911175851</v>
      </c>
      <c r="I13" s="7" t="n">
        <v>20.3643070152295</v>
      </c>
    </row>
    <row r="14" customFormat="false" ht="15" hidden="false" customHeight="false" outlineLevel="0" collapsed="false">
      <c r="A14" s="4" t="s">
        <v>126</v>
      </c>
      <c r="B14" s="4" t="s">
        <v>127</v>
      </c>
      <c r="C14" s="4" t="s">
        <v>101</v>
      </c>
      <c r="D14" s="4" t="s">
        <v>57</v>
      </c>
      <c r="E14" s="4" t="s">
        <v>58</v>
      </c>
      <c r="F14" s="4" t="s">
        <v>476</v>
      </c>
      <c r="G14" s="7" t="n">
        <v>250.561304223787</v>
      </c>
      <c r="H14" s="7" t="n">
        <v>18.367445138303</v>
      </c>
      <c r="I14" s="7" t="n">
        <v>0.0422236878485966</v>
      </c>
    </row>
    <row r="15" customFormat="false" ht="15" hidden="false" customHeight="false" outlineLevel="0" collapsed="false">
      <c r="A15" s="4" t="s">
        <v>128</v>
      </c>
      <c r="B15" s="4" t="s">
        <v>129</v>
      </c>
      <c r="C15" s="4" t="s">
        <v>99</v>
      </c>
      <c r="D15" s="4" t="s">
        <v>81</v>
      </c>
      <c r="E15" s="4" t="s">
        <v>82</v>
      </c>
      <c r="F15" s="4" t="s">
        <v>477</v>
      </c>
      <c r="G15" s="7" t="n">
        <v>10665.8894510924</v>
      </c>
      <c r="H15" s="7" t="n">
        <v>2173.19866670172</v>
      </c>
      <c r="I15" s="7" t="n">
        <v>399.882802887565</v>
      </c>
    </row>
    <row r="16" customFormat="false" ht="15" hidden="false" customHeight="false" outlineLevel="0" collapsed="false">
      <c r="A16" s="4" t="s">
        <v>130</v>
      </c>
      <c r="B16" s="4" t="s">
        <v>131</v>
      </c>
      <c r="C16" s="4" t="s">
        <v>104</v>
      </c>
      <c r="D16" s="4" t="s">
        <v>41</v>
      </c>
      <c r="E16" s="4" t="s">
        <v>42</v>
      </c>
      <c r="F16" s="4" t="s">
        <v>478</v>
      </c>
      <c r="G16" s="7" t="n">
        <v>4312.79951443798</v>
      </c>
      <c r="H16" s="7" t="n">
        <v>1450.79860961853</v>
      </c>
      <c r="I16" s="7" t="n">
        <v>0</v>
      </c>
    </row>
    <row r="17" customFormat="false" ht="15" hidden="false" customHeight="false" outlineLevel="0" collapsed="false">
      <c r="A17" s="4" t="s">
        <v>132</v>
      </c>
      <c r="B17" s="4" t="s">
        <v>133</v>
      </c>
      <c r="C17" s="4" t="s">
        <v>112</v>
      </c>
      <c r="D17" s="4" t="s">
        <v>79</v>
      </c>
      <c r="E17" s="4" t="s">
        <v>80</v>
      </c>
      <c r="F17" s="4" t="s">
        <v>469</v>
      </c>
      <c r="G17" s="7" t="n">
        <v>278.8692836841</v>
      </c>
      <c r="H17" s="7" t="n">
        <v>753.06286199343</v>
      </c>
      <c r="I17" s="7" t="n">
        <v>0</v>
      </c>
    </row>
    <row r="18" customFormat="false" ht="15" hidden="false" customHeight="false" outlineLevel="0" collapsed="false">
      <c r="A18" s="4" t="s">
        <v>134</v>
      </c>
      <c r="B18" s="4" t="s">
        <v>135</v>
      </c>
      <c r="C18" s="4" t="s">
        <v>104</v>
      </c>
      <c r="D18" s="4" t="s">
        <v>43</v>
      </c>
      <c r="E18" s="4" t="s">
        <v>44</v>
      </c>
      <c r="F18" s="4" t="s">
        <v>479</v>
      </c>
      <c r="G18" s="7" t="n">
        <v>1802.68338638814</v>
      </c>
      <c r="H18" s="7" t="n">
        <v>1604.70935221893</v>
      </c>
      <c r="I18" s="7" t="n">
        <v>0</v>
      </c>
    </row>
    <row r="19" customFormat="false" ht="15" hidden="false" customHeight="false" outlineLevel="0" collapsed="false">
      <c r="A19" s="4" t="s">
        <v>136</v>
      </c>
      <c r="B19" s="4" t="s">
        <v>137</v>
      </c>
      <c r="C19" s="4" t="s">
        <v>104</v>
      </c>
      <c r="D19" s="4" t="s">
        <v>43</v>
      </c>
      <c r="E19" s="4" t="s">
        <v>44</v>
      </c>
      <c r="F19" s="4" t="s">
        <v>480</v>
      </c>
      <c r="G19" s="7" t="n">
        <v>13186.3697235851</v>
      </c>
      <c r="H19" s="7" t="n">
        <v>564.520353525168</v>
      </c>
      <c r="I19" s="7" t="n">
        <v>5180</v>
      </c>
    </row>
    <row r="20" customFormat="false" ht="15" hidden="false" customHeight="false" outlineLevel="0" collapsed="false">
      <c r="A20" s="4" t="s">
        <v>138</v>
      </c>
      <c r="B20" s="4" t="s">
        <v>139</v>
      </c>
      <c r="C20" s="4" t="s">
        <v>112</v>
      </c>
      <c r="D20" s="4" t="s">
        <v>79</v>
      </c>
      <c r="E20" s="4" t="s">
        <v>80</v>
      </c>
      <c r="F20" s="4" t="s">
        <v>481</v>
      </c>
      <c r="G20" s="7" t="n">
        <v>43619.7690964398</v>
      </c>
      <c r="H20" s="7" t="n">
        <v>3014.6858120989</v>
      </c>
      <c r="I20" s="7" t="n">
        <v>214.998883440044</v>
      </c>
    </row>
    <row r="21" customFormat="false" ht="15" hidden="false" customHeight="false" outlineLevel="0" collapsed="false">
      <c r="A21" s="4" t="s">
        <v>140</v>
      </c>
      <c r="B21" s="4" t="s">
        <v>141</v>
      </c>
      <c r="C21" s="4" t="s">
        <v>107</v>
      </c>
      <c r="D21" s="4" t="s">
        <v>79</v>
      </c>
      <c r="E21" s="4" t="s">
        <v>80</v>
      </c>
      <c r="F21" s="4" t="s">
        <v>482</v>
      </c>
      <c r="G21" s="7" t="n">
        <v>2505533.86660671</v>
      </c>
      <c r="H21" s="7" t="n">
        <v>1887311.51658862</v>
      </c>
      <c r="I21" s="7" t="n">
        <v>28.1377749141249</v>
      </c>
    </row>
    <row r="22" customFormat="false" ht="15" hidden="false" customHeight="false" outlineLevel="0" collapsed="false">
      <c r="A22" s="4" t="s">
        <v>53</v>
      </c>
      <c r="B22" s="4" t="s">
        <v>54</v>
      </c>
      <c r="C22" s="4" t="s">
        <v>107</v>
      </c>
      <c r="D22" s="4" t="s">
        <v>53</v>
      </c>
      <c r="E22" s="4" t="s">
        <v>54</v>
      </c>
      <c r="F22" s="4" t="s">
        <v>483</v>
      </c>
      <c r="G22" s="7" t="n">
        <v>5163617.40548121</v>
      </c>
      <c r="H22" s="7" t="n">
        <v>33612098.4711487</v>
      </c>
      <c r="I22" s="7" t="n">
        <v>623307.46956176</v>
      </c>
    </row>
    <row r="23" customFormat="false" ht="15" hidden="false" customHeight="false" outlineLevel="0" collapsed="false">
      <c r="A23" s="4" t="s">
        <v>142</v>
      </c>
      <c r="B23" s="4" t="s">
        <v>143</v>
      </c>
      <c r="C23" s="4" t="s">
        <v>112</v>
      </c>
      <c r="D23" s="4" t="s">
        <v>79</v>
      </c>
      <c r="E23" s="4" t="s">
        <v>80</v>
      </c>
      <c r="F23" s="4" t="s">
        <v>469</v>
      </c>
      <c r="G23" s="7" t="n">
        <v>11.7157101278634</v>
      </c>
      <c r="H23" s="7" t="n">
        <v>28.0435857071933</v>
      </c>
      <c r="I23" s="7" t="n">
        <v>0</v>
      </c>
    </row>
    <row r="24" customFormat="false" ht="15" hidden="false" customHeight="false" outlineLevel="0" collapsed="false">
      <c r="A24" s="4" t="s">
        <v>144</v>
      </c>
      <c r="B24" s="4" t="s">
        <v>145</v>
      </c>
      <c r="C24" s="4" t="s">
        <v>146</v>
      </c>
      <c r="D24" s="4" t="s">
        <v>47</v>
      </c>
      <c r="E24" s="4" t="s">
        <v>48</v>
      </c>
      <c r="F24" s="4" t="s">
        <v>484</v>
      </c>
      <c r="G24" s="7" t="n">
        <v>2621.14147040807</v>
      </c>
      <c r="H24" s="7" t="n">
        <v>361.605326541752</v>
      </c>
      <c r="I24" s="7" t="n">
        <v>0</v>
      </c>
    </row>
    <row r="25" customFormat="false" ht="15" hidden="false" customHeight="false" outlineLevel="0" collapsed="false">
      <c r="A25" s="4" t="s">
        <v>147</v>
      </c>
      <c r="B25" s="4" t="s">
        <v>148</v>
      </c>
      <c r="C25" s="4" t="s">
        <v>99</v>
      </c>
      <c r="D25" s="4" t="s">
        <v>81</v>
      </c>
      <c r="E25" s="4" t="s">
        <v>82</v>
      </c>
      <c r="F25" s="4" t="s">
        <v>485</v>
      </c>
      <c r="G25" s="7" t="n">
        <v>1037.12679143369</v>
      </c>
      <c r="H25" s="7" t="n">
        <v>1671.19477134904</v>
      </c>
      <c r="I25" s="7" t="n">
        <v>1224.38804650772</v>
      </c>
    </row>
    <row r="26" customFormat="false" ht="15" hidden="false" customHeight="false" outlineLevel="0" collapsed="false">
      <c r="A26" s="4" t="s">
        <v>149</v>
      </c>
      <c r="B26" s="4" t="s">
        <v>150</v>
      </c>
      <c r="C26" s="4" t="s">
        <v>101</v>
      </c>
      <c r="D26" s="4" t="s">
        <v>59</v>
      </c>
      <c r="E26" s="4" t="s">
        <v>60</v>
      </c>
      <c r="F26" s="4" t="s">
        <v>486</v>
      </c>
      <c r="G26" s="7" t="n">
        <v>218.918193157114</v>
      </c>
      <c r="H26" s="7" t="n">
        <v>435.423360849449</v>
      </c>
      <c r="I26" s="7" t="n">
        <v>0</v>
      </c>
    </row>
    <row r="27" customFormat="false" ht="15" hidden="false" customHeight="false" outlineLevel="0" collapsed="false">
      <c r="A27" s="4" t="s">
        <v>151</v>
      </c>
      <c r="B27" s="4" t="s">
        <v>152</v>
      </c>
      <c r="C27" s="4" t="s">
        <v>101</v>
      </c>
      <c r="D27" s="4" t="s">
        <v>63</v>
      </c>
      <c r="E27" s="4" t="s">
        <v>64</v>
      </c>
      <c r="F27" s="4" t="s">
        <v>487</v>
      </c>
      <c r="G27" s="7" t="n">
        <v>182531.421145671</v>
      </c>
      <c r="H27" s="7" t="n">
        <v>64148.8883666027</v>
      </c>
      <c r="I27" s="7" t="n">
        <v>0</v>
      </c>
    </row>
    <row r="28" customFormat="false" ht="15" hidden="false" customHeight="false" outlineLevel="0" collapsed="false">
      <c r="A28" s="4" t="s">
        <v>33</v>
      </c>
      <c r="B28" s="4" t="s">
        <v>34</v>
      </c>
      <c r="C28" s="4" t="s">
        <v>112</v>
      </c>
      <c r="D28" s="4" t="s">
        <v>33</v>
      </c>
      <c r="E28" s="4" t="s">
        <v>34</v>
      </c>
      <c r="F28" s="4" t="s">
        <v>488</v>
      </c>
      <c r="G28" s="7" t="n">
        <v>205508.495563592</v>
      </c>
      <c r="H28" s="7" t="n">
        <v>129618.556458719</v>
      </c>
      <c r="I28" s="7" t="n">
        <v>0</v>
      </c>
    </row>
    <row r="29" customFormat="false" ht="15" hidden="false" customHeight="false" outlineLevel="0" collapsed="false">
      <c r="A29" s="4" t="s">
        <v>153</v>
      </c>
      <c r="B29" s="4" t="s">
        <v>154</v>
      </c>
      <c r="C29" s="4" t="s">
        <v>104</v>
      </c>
      <c r="D29" s="4" t="s">
        <v>41</v>
      </c>
      <c r="E29" s="4" t="s">
        <v>42</v>
      </c>
      <c r="F29" s="4" t="s">
        <v>489</v>
      </c>
      <c r="G29" s="7" t="n">
        <v>1321.70412996708</v>
      </c>
      <c r="H29" s="7" t="n">
        <v>82.8367116823471</v>
      </c>
      <c r="I29" s="7" t="n">
        <v>0</v>
      </c>
    </row>
    <row r="30" customFormat="false" ht="15" hidden="false" customHeight="false" outlineLevel="0" collapsed="false">
      <c r="A30" s="4" t="s">
        <v>155</v>
      </c>
      <c r="B30" s="4" t="s">
        <v>156</v>
      </c>
      <c r="C30" s="4" t="s">
        <v>107</v>
      </c>
      <c r="D30" s="4" t="s">
        <v>79</v>
      </c>
      <c r="E30" s="4" t="s">
        <v>80</v>
      </c>
      <c r="F30" s="4" t="s">
        <v>490</v>
      </c>
      <c r="G30" s="7" t="n">
        <v>75097.1578656603</v>
      </c>
      <c r="H30" s="7" t="n">
        <v>16765.3547967292</v>
      </c>
      <c r="I30" s="7" t="n">
        <v>335168.162967281</v>
      </c>
    </row>
    <row r="31" customFormat="false" ht="15" hidden="false" customHeight="false" outlineLevel="0" collapsed="false">
      <c r="A31" s="4" t="s">
        <v>49</v>
      </c>
      <c r="B31" s="4" t="s">
        <v>157</v>
      </c>
      <c r="C31" s="4" t="s">
        <v>158</v>
      </c>
      <c r="D31" s="4" t="s">
        <v>49</v>
      </c>
      <c r="E31" s="4" t="s">
        <v>50</v>
      </c>
      <c r="F31" s="4" t="s">
        <v>491</v>
      </c>
      <c r="G31" s="7" t="n">
        <v>554798.886597387</v>
      </c>
      <c r="H31" s="7" t="n">
        <v>745744.116847942</v>
      </c>
      <c r="I31" s="7" t="n">
        <v>6167155.13343047</v>
      </c>
    </row>
    <row r="32" customFormat="false" ht="15" hidden="false" customHeight="false" outlineLevel="0" collapsed="false">
      <c r="A32" s="4" t="s">
        <v>159</v>
      </c>
      <c r="B32" s="4" t="s">
        <v>160</v>
      </c>
      <c r="C32" s="4" t="s">
        <v>101</v>
      </c>
      <c r="D32" s="4" t="s">
        <v>67</v>
      </c>
      <c r="E32" s="4" t="s">
        <v>68</v>
      </c>
      <c r="F32" s="4" t="s">
        <v>492</v>
      </c>
      <c r="G32" s="7" t="n">
        <v>3634429.0757966</v>
      </c>
      <c r="H32" s="7" t="n">
        <v>96496.3945467738</v>
      </c>
      <c r="I32" s="7" t="n">
        <v>0</v>
      </c>
    </row>
    <row r="33" customFormat="false" ht="15" hidden="false" customHeight="false" outlineLevel="0" collapsed="false">
      <c r="A33" s="4" t="s">
        <v>161</v>
      </c>
      <c r="B33" s="4" t="s">
        <v>162</v>
      </c>
      <c r="C33" s="4" t="s">
        <v>101</v>
      </c>
      <c r="D33" s="4" t="s">
        <v>67</v>
      </c>
      <c r="E33" s="4" t="s">
        <v>68</v>
      </c>
      <c r="F33" s="4" t="s">
        <v>493</v>
      </c>
      <c r="G33" s="7" t="n">
        <v>697622.558565191</v>
      </c>
      <c r="H33" s="7" t="n">
        <v>153409.669748186</v>
      </c>
      <c r="I33" s="7" t="n">
        <v>36792.6848668643</v>
      </c>
    </row>
    <row r="34" customFormat="false" ht="15" hidden="false" customHeight="false" outlineLevel="0" collapsed="false">
      <c r="A34" s="4" t="s">
        <v>163</v>
      </c>
      <c r="B34" s="4" t="s">
        <v>164</v>
      </c>
      <c r="C34" s="4" t="s">
        <v>101</v>
      </c>
      <c r="D34" s="4" t="s">
        <v>65</v>
      </c>
      <c r="E34" s="4" t="s">
        <v>66</v>
      </c>
      <c r="F34" s="4" t="s">
        <v>494</v>
      </c>
      <c r="G34" s="7" t="n">
        <v>8446496.37169097</v>
      </c>
      <c r="H34" s="7" t="n">
        <v>884032.631622133</v>
      </c>
      <c r="I34" s="7" t="n">
        <v>2481.08124421997</v>
      </c>
    </row>
    <row r="35" customFormat="false" ht="15" hidden="false" customHeight="false" outlineLevel="0" collapsed="false">
      <c r="A35" s="4" t="s">
        <v>165</v>
      </c>
      <c r="B35" s="4" t="s">
        <v>166</v>
      </c>
      <c r="C35" s="4" t="s">
        <v>101</v>
      </c>
      <c r="D35" s="4" t="s">
        <v>65</v>
      </c>
      <c r="E35" s="4" t="s">
        <v>66</v>
      </c>
      <c r="F35" s="4" t="s">
        <v>495</v>
      </c>
      <c r="G35" s="7" t="n">
        <v>95799.9573902631</v>
      </c>
      <c r="H35" s="7" t="n">
        <v>47609.6450030296</v>
      </c>
      <c r="I35" s="7" t="n">
        <v>0</v>
      </c>
    </row>
    <row r="36" customFormat="false" ht="15" hidden="false" customHeight="false" outlineLevel="0" collapsed="false">
      <c r="A36" s="4" t="s">
        <v>167</v>
      </c>
      <c r="B36" s="4" t="s">
        <v>168</v>
      </c>
      <c r="C36" s="4" t="s">
        <v>107</v>
      </c>
      <c r="D36" s="4" t="s">
        <v>79</v>
      </c>
      <c r="E36" s="4" t="s">
        <v>80</v>
      </c>
      <c r="F36" s="4" t="s">
        <v>496</v>
      </c>
      <c r="G36" s="7" t="n">
        <v>1195761.93071172</v>
      </c>
      <c r="H36" s="7" t="n">
        <v>1634596.96231792</v>
      </c>
      <c r="I36" s="7" t="n">
        <v>9997.52406247678</v>
      </c>
    </row>
    <row r="37" customFormat="false" ht="15" hidden="false" customHeight="false" outlineLevel="0" collapsed="false">
      <c r="A37" s="4" t="s">
        <v>169</v>
      </c>
      <c r="B37" s="4" t="s">
        <v>170</v>
      </c>
      <c r="C37" s="4" t="s">
        <v>101</v>
      </c>
      <c r="D37" s="4" t="s">
        <v>61</v>
      </c>
      <c r="E37" s="4" t="s">
        <v>62</v>
      </c>
      <c r="F37" s="4" t="s">
        <v>497</v>
      </c>
      <c r="G37" s="7" t="n">
        <v>80.3073659426179</v>
      </c>
      <c r="H37" s="7" t="n">
        <v>205.910239488061</v>
      </c>
      <c r="I37" s="7" t="n">
        <v>0</v>
      </c>
    </row>
    <row r="38" customFormat="false" ht="15" hidden="false" customHeight="false" outlineLevel="0" collapsed="false">
      <c r="A38" s="4" t="s">
        <v>171</v>
      </c>
      <c r="B38" s="4" t="s">
        <v>172</v>
      </c>
      <c r="C38" s="4" t="s">
        <v>101</v>
      </c>
      <c r="D38" s="4" t="s">
        <v>57</v>
      </c>
      <c r="E38" s="4" t="s">
        <v>58</v>
      </c>
      <c r="F38" s="4" t="s">
        <v>498</v>
      </c>
      <c r="G38" s="7" t="n">
        <v>48.0011366948686</v>
      </c>
      <c r="H38" s="7" t="n">
        <v>16.3226906742743</v>
      </c>
      <c r="I38" s="7" t="n">
        <v>6.69228705433432</v>
      </c>
    </row>
    <row r="39" customFormat="false" ht="15" hidden="false" customHeight="false" outlineLevel="0" collapsed="false">
      <c r="A39" s="4" t="s">
        <v>173</v>
      </c>
      <c r="B39" s="4" t="s">
        <v>174</v>
      </c>
      <c r="C39" s="4" t="s">
        <v>112</v>
      </c>
      <c r="D39" s="4" t="s">
        <v>79</v>
      </c>
      <c r="E39" s="4" t="s">
        <v>80</v>
      </c>
      <c r="F39" s="4" t="s">
        <v>499</v>
      </c>
      <c r="G39" s="7" t="n">
        <v>149123.585850521</v>
      </c>
      <c r="H39" s="7" t="n">
        <v>208.974046290529</v>
      </c>
      <c r="I39" s="7" t="n">
        <v>1230.71705406151</v>
      </c>
    </row>
    <row r="40" customFormat="false" ht="15" hidden="false" customHeight="false" outlineLevel="0" collapsed="false">
      <c r="A40" s="4" t="s">
        <v>175</v>
      </c>
      <c r="B40" s="4" t="s">
        <v>176</v>
      </c>
      <c r="C40" s="4" t="s">
        <v>112</v>
      </c>
      <c r="D40" s="4" t="s">
        <v>79</v>
      </c>
      <c r="E40" s="4" t="s">
        <v>80</v>
      </c>
      <c r="F40" s="4" t="s">
        <v>469</v>
      </c>
      <c r="G40" s="7" t="n">
        <v>14421.8739675167</v>
      </c>
      <c r="H40" s="7" t="n">
        <v>8884.96612332896</v>
      </c>
      <c r="I40" s="7" t="n">
        <v>2168.87272660782</v>
      </c>
    </row>
    <row r="41" customFormat="false" ht="15" hidden="false" customHeight="false" outlineLevel="0" collapsed="false">
      <c r="A41" s="4" t="s">
        <v>177</v>
      </c>
      <c r="B41" s="4" t="s">
        <v>178</v>
      </c>
      <c r="C41" s="4" t="s">
        <v>99</v>
      </c>
      <c r="D41" s="4" t="s">
        <v>41</v>
      </c>
      <c r="E41" s="4" t="s">
        <v>42</v>
      </c>
      <c r="F41" s="4" t="s">
        <v>500</v>
      </c>
      <c r="G41" s="7" t="n">
        <v>81.3647816613544</v>
      </c>
      <c r="H41" s="7" t="n">
        <v>51.4152099065311</v>
      </c>
      <c r="I41" s="7" t="n">
        <v>0</v>
      </c>
    </row>
    <row r="42" customFormat="false" ht="15" hidden="false" customHeight="false" outlineLevel="0" collapsed="false">
      <c r="A42" s="4" t="s">
        <v>179</v>
      </c>
      <c r="B42" s="4" t="s">
        <v>180</v>
      </c>
      <c r="C42" s="4" t="s">
        <v>104</v>
      </c>
      <c r="D42" s="4" t="s">
        <v>41</v>
      </c>
      <c r="E42" s="4" t="s">
        <v>42</v>
      </c>
      <c r="F42" s="4" t="s">
        <v>501</v>
      </c>
      <c r="G42" s="7" t="n">
        <v>1775.22605762299</v>
      </c>
      <c r="H42" s="7" t="n">
        <v>1276.28019602922</v>
      </c>
      <c r="I42" s="7" t="n">
        <v>0</v>
      </c>
    </row>
    <row r="43" customFormat="false" ht="15" hidden="false" customHeight="false" outlineLevel="0" collapsed="false">
      <c r="A43" s="4" t="s">
        <v>181</v>
      </c>
      <c r="B43" s="4" t="s">
        <v>182</v>
      </c>
      <c r="C43" s="4" t="s">
        <v>104</v>
      </c>
      <c r="D43" s="4" t="s">
        <v>41</v>
      </c>
      <c r="E43" s="4" t="s">
        <v>42</v>
      </c>
      <c r="F43" s="4" t="s">
        <v>502</v>
      </c>
      <c r="G43" s="7" t="n">
        <v>13997.8089722928</v>
      </c>
      <c r="H43" s="7" t="n">
        <v>3568.99836328914</v>
      </c>
      <c r="I43" s="7" t="n">
        <v>0</v>
      </c>
    </row>
    <row r="44" customFormat="false" ht="15" hidden="false" customHeight="false" outlineLevel="0" collapsed="false">
      <c r="A44" s="4" t="s">
        <v>183</v>
      </c>
      <c r="B44" s="4" t="s">
        <v>184</v>
      </c>
      <c r="C44" s="4" t="s">
        <v>112</v>
      </c>
      <c r="D44" s="4" t="s">
        <v>79</v>
      </c>
      <c r="E44" s="4" t="s">
        <v>80</v>
      </c>
      <c r="F44" s="4" t="s">
        <v>469</v>
      </c>
      <c r="G44" s="7" t="n">
        <v>49.7714333485502</v>
      </c>
      <c r="H44" s="7" t="n">
        <v>3.1112048269411</v>
      </c>
      <c r="I44" s="7" t="n">
        <v>0</v>
      </c>
    </row>
    <row r="45" customFormat="false" ht="15" hidden="false" customHeight="false" outlineLevel="0" collapsed="false">
      <c r="A45" s="4" t="s">
        <v>185</v>
      </c>
      <c r="B45" s="4" t="s">
        <v>186</v>
      </c>
      <c r="C45" s="4" t="s">
        <v>104</v>
      </c>
      <c r="D45" s="4" t="s">
        <v>41</v>
      </c>
      <c r="E45" s="4" t="s">
        <v>42</v>
      </c>
      <c r="F45" s="4" t="s">
        <v>503</v>
      </c>
      <c r="G45" s="7" t="n">
        <v>2329.95622724774</v>
      </c>
      <c r="H45" s="7" t="n">
        <v>480.310350068666</v>
      </c>
      <c r="I45" s="7" t="n">
        <v>14592.2082670361</v>
      </c>
    </row>
    <row r="46" customFormat="false" ht="15" hidden="false" customHeight="false" outlineLevel="0" collapsed="false">
      <c r="A46" s="4" t="s">
        <v>187</v>
      </c>
      <c r="B46" s="4" t="s">
        <v>188</v>
      </c>
      <c r="C46" s="4" t="s">
        <v>112</v>
      </c>
      <c r="D46" s="4" t="s">
        <v>79</v>
      </c>
      <c r="E46" s="4" t="s">
        <v>80</v>
      </c>
      <c r="F46" s="4" t="s">
        <v>504</v>
      </c>
      <c r="G46" s="7" t="n">
        <v>19971.2918567815</v>
      </c>
      <c r="H46" s="7" t="n">
        <v>2056.8006139348</v>
      </c>
      <c r="I46" s="7" t="n">
        <v>465.85847097564</v>
      </c>
    </row>
    <row r="47" customFormat="false" ht="15" hidden="false" customHeight="false" outlineLevel="0" collapsed="false">
      <c r="A47" s="4" t="s">
        <v>189</v>
      </c>
      <c r="B47" s="4" t="s">
        <v>190</v>
      </c>
      <c r="C47" s="4" t="s">
        <v>101</v>
      </c>
      <c r="D47" s="4" t="s">
        <v>55</v>
      </c>
      <c r="E47" s="4" t="s">
        <v>56</v>
      </c>
      <c r="F47" s="4" t="s">
        <v>505</v>
      </c>
      <c r="G47" s="7" t="n">
        <v>3069.53899250905</v>
      </c>
      <c r="H47" s="7" t="n">
        <v>555.756264199766</v>
      </c>
      <c r="I47" s="7" t="n">
        <v>0</v>
      </c>
    </row>
    <row r="48" customFormat="false" ht="15" hidden="false" customHeight="false" outlineLevel="0" collapsed="false">
      <c r="A48" s="4" t="s">
        <v>191</v>
      </c>
      <c r="B48" s="4" t="s">
        <v>192</v>
      </c>
      <c r="C48" s="4" t="s">
        <v>107</v>
      </c>
      <c r="D48" s="4" t="s">
        <v>79</v>
      </c>
      <c r="E48" s="4" t="s">
        <v>80</v>
      </c>
      <c r="F48" s="4" t="s">
        <v>506</v>
      </c>
      <c r="G48" s="7" t="n">
        <v>347846.751135166</v>
      </c>
      <c r="H48" s="7" t="n">
        <v>82794.1856035733</v>
      </c>
      <c r="I48" s="7" t="n">
        <v>4018.12734214522</v>
      </c>
    </row>
    <row r="49" customFormat="false" ht="15" hidden="false" customHeight="false" outlineLevel="0" collapsed="false">
      <c r="A49" s="4" t="s">
        <v>193</v>
      </c>
      <c r="B49" s="4" t="s">
        <v>194</v>
      </c>
      <c r="C49" s="4" t="s">
        <v>101</v>
      </c>
      <c r="D49" s="4" t="s">
        <v>55</v>
      </c>
      <c r="E49" s="4" t="s">
        <v>56</v>
      </c>
      <c r="F49" s="4" t="s">
        <v>507</v>
      </c>
      <c r="G49" s="7" t="n">
        <v>1940.38644297183</v>
      </c>
      <c r="H49" s="7" t="n">
        <v>4.21406899254097</v>
      </c>
      <c r="I49" s="7" t="n">
        <v>0</v>
      </c>
    </row>
    <row r="50" customFormat="false" ht="15" hidden="false" customHeight="false" outlineLevel="0" collapsed="false">
      <c r="A50" s="4" t="s">
        <v>195</v>
      </c>
      <c r="B50" s="4" t="s">
        <v>196</v>
      </c>
      <c r="C50" s="4" t="s">
        <v>101</v>
      </c>
      <c r="D50" s="4" t="s">
        <v>75</v>
      </c>
      <c r="E50" s="4" t="s">
        <v>76</v>
      </c>
      <c r="F50" s="4" t="s">
        <v>508</v>
      </c>
      <c r="G50" s="7" t="n">
        <v>1.61414205109421</v>
      </c>
      <c r="H50" s="7" t="n">
        <v>0</v>
      </c>
      <c r="I50" s="7" t="n">
        <v>0.0226270529096938</v>
      </c>
    </row>
    <row r="51" customFormat="false" ht="15" hidden="false" customHeight="false" outlineLevel="0" collapsed="false">
      <c r="A51" s="4" t="s">
        <v>197</v>
      </c>
      <c r="B51" s="4" t="s">
        <v>198</v>
      </c>
      <c r="C51" s="4" t="s">
        <v>104</v>
      </c>
      <c r="D51" s="4" t="s">
        <v>41</v>
      </c>
      <c r="E51" s="4" t="s">
        <v>42</v>
      </c>
      <c r="F51" s="4" t="s">
        <v>509</v>
      </c>
      <c r="G51" s="7" t="n">
        <v>21294.2905966269</v>
      </c>
      <c r="H51" s="7" t="n">
        <v>13986.4444107884</v>
      </c>
      <c r="I51" s="7" t="n">
        <v>74655.6139605382</v>
      </c>
    </row>
    <row r="52" customFormat="false" ht="15" hidden="false" customHeight="false" outlineLevel="0" collapsed="false">
      <c r="A52" s="4" t="s">
        <v>199</v>
      </c>
      <c r="B52" s="4" t="s">
        <v>200</v>
      </c>
      <c r="C52" s="4" t="s">
        <v>104</v>
      </c>
      <c r="D52" s="4" t="s">
        <v>41</v>
      </c>
      <c r="E52" s="4" t="s">
        <v>42</v>
      </c>
      <c r="F52" s="4" t="s">
        <v>510</v>
      </c>
      <c r="G52" s="7" t="n">
        <v>3140.07939385791</v>
      </c>
      <c r="H52" s="7" t="n">
        <v>623.125604307916</v>
      </c>
      <c r="I52" s="7" t="n">
        <v>505.999999999999</v>
      </c>
    </row>
    <row r="53" customFormat="false" ht="15" hidden="false" customHeight="false" outlineLevel="0" collapsed="false">
      <c r="A53" s="4" t="s">
        <v>201</v>
      </c>
      <c r="B53" s="4" t="s">
        <v>202</v>
      </c>
      <c r="C53" s="4" t="s">
        <v>101</v>
      </c>
      <c r="D53" s="4" t="s">
        <v>63</v>
      </c>
      <c r="E53" s="4" t="s">
        <v>64</v>
      </c>
      <c r="F53" s="4" t="s">
        <v>511</v>
      </c>
      <c r="G53" s="7" t="n">
        <v>154492.885919641</v>
      </c>
      <c r="H53" s="7" t="n">
        <v>13813.6466530672</v>
      </c>
      <c r="I53" s="7" t="n">
        <v>8638.21450081028</v>
      </c>
    </row>
    <row r="54" customFormat="false" ht="15" hidden="false" customHeight="false" outlineLevel="0" collapsed="false">
      <c r="A54" s="4" t="s">
        <v>203</v>
      </c>
      <c r="B54" s="4" t="s">
        <v>204</v>
      </c>
      <c r="C54" s="4" t="s">
        <v>104</v>
      </c>
      <c r="D54" s="4" t="s">
        <v>41</v>
      </c>
      <c r="E54" s="4" t="s">
        <v>42</v>
      </c>
      <c r="F54" s="4" t="s">
        <v>512</v>
      </c>
      <c r="G54" s="7" t="n">
        <v>31128.0493414923</v>
      </c>
      <c r="H54" s="7" t="n">
        <v>23342.2402962358</v>
      </c>
      <c r="I54" s="7" t="n">
        <v>7186</v>
      </c>
    </row>
    <row r="55" customFormat="false" ht="15" hidden="false" customHeight="false" outlineLevel="0" collapsed="false">
      <c r="A55" s="4" t="s">
        <v>205</v>
      </c>
      <c r="B55" s="4" t="s">
        <v>206</v>
      </c>
      <c r="C55" s="4" t="s">
        <v>115</v>
      </c>
      <c r="D55" s="4" t="s">
        <v>39</v>
      </c>
      <c r="E55" s="4" t="s">
        <v>40</v>
      </c>
      <c r="F55" s="4" t="s">
        <v>513</v>
      </c>
      <c r="G55" s="7" t="n">
        <v>602.092121316409</v>
      </c>
      <c r="H55" s="7" t="n">
        <v>611.414152403336</v>
      </c>
      <c r="I55" s="7" t="n">
        <v>16298.9229141665</v>
      </c>
    </row>
    <row r="56" customFormat="false" ht="15" hidden="false" customHeight="false" outlineLevel="0" collapsed="false">
      <c r="A56" s="4" t="s">
        <v>207</v>
      </c>
      <c r="B56" s="4" t="s">
        <v>208</v>
      </c>
      <c r="C56" s="4" t="s">
        <v>104</v>
      </c>
      <c r="D56" s="4" t="s">
        <v>41</v>
      </c>
      <c r="E56" s="4" t="s">
        <v>42</v>
      </c>
      <c r="F56" s="4" t="s">
        <v>514</v>
      </c>
      <c r="G56" s="7" t="n">
        <v>37469.7604678599</v>
      </c>
      <c r="H56" s="7" t="n">
        <v>9477.83862343325</v>
      </c>
      <c r="I56" s="7" t="n">
        <v>0</v>
      </c>
    </row>
    <row r="57" customFormat="false" ht="15" hidden="false" customHeight="false" outlineLevel="0" collapsed="false">
      <c r="A57" s="4" t="s">
        <v>209</v>
      </c>
      <c r="B57" s="4" t="s">
        <v>210</v>
      </c>
      <c r="C57" s="4" t="s">
        <v>115</v>
      </c>
      <c r="D57" s="4" t="s">
        <v>39</v>
      </c>
      <c r="E57" s="4" t="s">
        <v>40</v>
      </c>
      <c r="F57" s="4" t="s">
        <v>513</v>
      </c>
      <c r="G57" s="7" t="n">
        <v>1.84077511337653</v>
      </c>
      <c r="H57" s="7" t="n">
        <v>0.468527111677343</v>
      </c>
      <c r="I57" s="7" t="n">
        <v>0</v>
      </c>
    </row>
    <row r="58" customFormat="false" ht="15" hidden="false" customHeight="false" outlineLevel="0" collapsed="false">
      <c r="A58" s="4" t="s">
        <v>211</v>
      </c>
      <c r="B58" s="4" t="s">
        <v>212</v>
      </c>
      <c r="C58" s="4" t="s">
        <v>101</v>
      </c>
      <c r="D58" s="4" t="s">
        <v>59</v>
      </c>
      <c r="E58" s="4" t="s">
        <v>60</v>
      </c>
      <c r="F58" s="4" t="s">
        <v>515</v>
      </c>
      <c r="G58" s="7" t="n">
        <v>95310.7821324099</v>
      </c>
      <c r="H58" s="7" t="n">
        <v>127209.780925607</v>
      </c>
      <c r="I58" s="7" t="n">
        <v>0</v>
      </c>
    </row>
    <row r="59" customFormat="false" ht="15" hidden="false" customHeight="false" outlineLevel="0" collapsed="false">
      <c r="A59" s="4" t="s">
        <v>213</v>
      </c>
      <c r="B59" s="4" t="s">
        <v>214</v>
      </c>
      <c r="C59" s="4" t="s">
        <v>104</v>
      </c>
      <c r="D59" s="4" t="s">
        <v>41</v>
      </c>
      <c r="E59" s="4" t="s">
        <v>42</v>
      </c>
      <c r="F59" s="4" t="s">
        <v>516</v>
      </c>
      <c r="G59" s="7" t="n">
        <v>16959.9649658898</v>
      </c>
      <c r="H59" s="7" t="n">
        <v>3555.98376155648</v>
      </c>
      <c r="I59" s="7" t="n">
        <v>0</v>
      </c>
    </row>
    <row r="60" customFormat="false" ht="15" hidden="false" customHeight="false" outlineLevel="0" collapsed="false">
      <c r="A60" s="4" t="s">
        <v>215</v>
      </c>
      <c r="B60" s="4" t="s">
        <v>216</v>
      </c>
      <c r="C60" s="4" t="s">
        <v>99</v>
      </c>
      <c r="D60" s="4" t="s">
        <v>43</v>
      </c>
      <c r="E60" s="4" t="s">
        <v>44</v>
      </c>
      <c r="F60" s="4" t="s">
        <v>517</v>
      </c>
      <c r="G60" s="7" t="n">
        <v>575.942657391677</v>
      </c>
      <c r="H60" s="7" t="n">
        <v>1236.2682823053</v>
      </c>
      <c r="I60" s="7" t="n">
        <v>430.371964797009</v>
      </c>
    </row>
    <row r="61" customFormat="false" ht="15" hidden="false" customHeight="false" outlineLevel="0" collapsed="false">
      <c r="A61" s="4" t="s">
        <v>217</v>
      </c>
      <c r="B61" s="4" t="s">
        <v>218</v>
      </c>
      <c r="C61" s="4" t="s">
        <v>101</v>
      </c>
      <c r="D61" s="4" t="s">
        <v>67</v>
      </c>
      <c r="E61" s="4" t="s">
        <v>68</v>
      </c>
      <c r="F61" s="4" t="s">
        <v>518</v>
      </c>
      <c r="G61" s="7" t="n">
        <v>1223786.30661701</v>
      </c>
      <c r="H61" s="7" t="n">
        <v>153623.762737978</v>
      </c>
      <c r="I61" s="7" t="n">
        <v>9540.02723176561</v>
      </c>
    </row>
    <row r="62" customFormat="false" ht="15" hidden="false" customHeight="false" outlineLevel="0" collapsed="false">
      <c r="A62" s="4" t="s">
        <v>219</v>
      </c>
      <c r="B62" s="4" t="s">
        <v>220</v>
      </c>
      <c r="C62" s="4" t="s">
        <v>101</v>
      </c>
      <c r="D62" s="4" t="s">
        <v>57</v>
      </c>
      <c r="E62" s="4" t="s">
        <v>58</v>
      </c>
      <c r="F62" s="4" t="s">
        <v>519</v>
      </c>
      <c r="G62" s="7" t="n">
        <v>389022.198443073</v>
      </c>
      <c r="H62" s="7" t="n">
        <v>10287.248943883</v>
      </c>
      <c r="I62" s="7" t="n">
        <v>3188.11357875546</v>
      </c>
    </row>
    <row r="63" customFormat="false" ht="15" hidden="false" customHeight="false" outlineLevel="0" collapsed="false">
      <c r="A63" s="4" t="s">
        <v>221</v>
      </c>
      <c r="B63" s="4" t="s">
        <v>222</v>
      </c>
      <c r="C63" s="4" t="s">
        <v>112</v>
      </c>
      <c r="D63" s="4" t="s">
        <v>41</v>
      </c>
      <c r="E63" s="4" t="s">
        <v>42</v>
      </c>
      <c r="F63" s="4" t="s">
        <v>520</v>
      </c>
      <c r="G63" s="7" t="n">
        <v>98.1814277207558</v>
      </c>
      <c r="H63" s="7" t="n">
        <v>43.2611020935059</v>
      </c>
      <c r="I63" s="7" t="n">
        <v>0</v>
      </c>
    </row>
    <row r="64" customFormat="false" ht="15" hidden="false" customHeight="false" outlineLevel="0" collapsed="false">
      <c r="A64" s="4" t="s">
        <v>223</v>
      </c>
      <c r="B64" s="4" t="s">
        <v>224</v>
      </c>
      <c r="C64" s="4" t="s">
        <v>101</v>
      </c>
      <c r="D64" s="4" t="s">
        <v>57</v>
      </c>
      <c r="E64" s="4" t="s">
        <v>58</v>
      </c>
      <c r="F64" s="4" t="s">
        <v>498</v>
      </c>
      <c r="G64" s="7" t="n">
        <v>700.27763709173</v>
      </c>
      <c r="H64" s="7" t="n">
        <v>27.2165890008714</v>
      </c>
      <c r="I64" s="7" t="n">
        <v>0</v>
      </c>
    </row>
    <row r="65" customFormat="false" ht="15" hidden="false" customHeight="false" outlineLevel="0" collapsed="false">
      <c r="A65" s="4" t="s">
        <v>225</v>
      </c>
      <c r="B65" s="4" t="s">
        <v>226</v>
      </c>
      <c r="C65" s="4" t="s">
        <v>101</v>
      </c>
      <c r="D65" s="4" t="s">
        <v>57</v>
      </c>
      <c r="E65" s="4" t="s">
        <v>58</v>
      </c>
      <c r="F65" s="4" t="s">
        <v>498</v>
      </c>
      <c r="G65" s="7" t="n">
        <v>14568.0297944522</v>
      </c>
      <c r="H65" s="7" t="n">
        <v>3591.96501279454</v>
      </c>
      <c r="I65" s="7" t="n">
        <v>33.6926876673574</v>
      </c>
    </row>
    <row r="66" customFormat="false" ht="15" hidden="false" customHeight="false" outlineLevel="0" collapsed="false">
      <c r="A66" s="4" t="s">
        <v>227</v>
      </c>
      <c r="B66" s="4" t="s">
        <v>228</v>
      </c>
      <c r="C66" s="4" t="s">
        <v>101</v>
      </c>
      <c r="D66" s="4" t="s">
        <v>65</v>
      </c>
      <c r="E66" s="4" t="s">
        <v>66</v>
      </c>
      <c r="F66" s="4" t="s">
        <v>521</v>
      </c>
      <c r="G66" s="7" t="n">
        <v>5945.9997405731</v>
      </c>
      <c r="H66" s="7" t="n">
        <v>4888.78913974999</v>
      </c>
      <c r="I66" s="7" t="n">
        <v>0</v>
      </c>
    </row>
    <row r="67" customFormat="false" ht="15" hidden="false" customHeight="false" outlineLevel="0" collapsed="false">
      <c r="A67" s="4" t="s">
        <v>229</v>
      </c>
      <c r="B67" s="4" t="s">
        <v>230</v>
      </c>
      <c r="C67" s="4" t="s">
        <v>104</v>
      </c>
      <c r="D67" s="4" t="s">
        <v>41</v>
      </c>
      <c r="E67" s="4" t="s">
        <v>42</v>
      </c>
      <c r="F67" s="4" t="s">
        <v>522</v>
      </c>
      <c r="G67" s="7" t="n">
        <v>6196.0862514371</v>
      </c>
      <c r="H67" s="7" t="n">
        <v>496.996827753563</v>
      </c>
      <c r="I67" s="7" t="n">
        <v>8222.06929229099</v>
      </c>
    </row>
    <row r="68" customFormat="false" ht="15" hidden="false" customHeight="false" outlineLevel="0" collapsed="false">
      <c r="A68" s="4" t="s">
        <v>231</v>
      </c>
      <c r="B68" s="4" t="s">
        <v>232</v>
      </c>
      <c r="C68" s="4" t="s">
        <v>107</v>
      </c>
      <c r="D68" s="4" t="s">
        <v>79</v>
      </c>
      <c r="E68" s="4" t="s">
        <v>80</v>
      </c>
      <c r="F68" s="4" t="s">
        <v>469</v>
      </c>
      <c r="G68" s="7" t="n">
        <v>18.0968628494492</v>
      </c>
      <c r="H68" s="7" t="n">
        <v>131.907724090523</v>
      </c>
      <c r="I68" s="7" t="n">
        <v>0</v>
      </c>
    </row>
    <row r="69" customFormat="false" ht="15" hidden="false" customHeight="false" outlineLevel="0" collapsed="false">
      <c r="A69" s="4" t="s">
        <v>233</v>
      </c>
      <c r="B69" s="4" t="s">
        <v>234</v>
      </c>
      <c r="C69" s="4" t="s">
        <v>112</v>
      </c>
      <c r="D69" s="4" t="s">
        <v>79</v>
      </c>
      <c r="E69" s="4" t="s">
        <v>80</v>
      </c>
      <c r="F69" s="4" t="s">
        <v>523</v>
      </c>
      <c r="G69" s="7" t="n">
        <v>421792.628147839</v>
      </c>
      <c r="H69" s="7" t="n">
        <v>117124.824361079</v>
      </c>
      <c r="I69" s="7" t="n">
        <v>15650.5090400865</v>
      </c>
    </row>
    <row r="70" customFormat="false" ht="15" hidden="false" customHeight="false" outlineLevel="0" collapsed="false">
      <c r="A70" s="4" t="s">
        <v>235</v>
      </c>
      <c r="B70" s="4" t="s">
        <v>236</v>
      </c>
      <c r="C70" s="4" t="s">
        <v>107</v>
      </c>
      <c r="D70" s="4" t="s">
        <v>41</v>
      </c>
      <c r="E70" s="4" t="s">
        <v>42</v>
      </c>
      <c r="F70" s="4" t="s">
        <v>520</v>
      </c>
      <c r="G70" s="7" t="n">
        <v>227.848791004639</v>
      </c>
      <c r="H70" s="7" t="n">
        <v>4548.57897892257</v>
      </c>
      <c r="I70" s="7" t="n">
        <v>0</v>
      </c>
    </row>
    <row r="71" customFormat="false" ht="15" hidden="false" customHeight="false" outlineLevel="0" collapsed="false">
      <c r="A71" s="4" t="s">
        <v>237</v>
      </c>
      <c r="B71" s="4" t="s">
        <v>238</v>
      </c>
      <c r="C71" s="4" t="s">
        <v>107</v>
      </c>
      <c r="D71" s="4" t="s">
        <v>79</v>
      </c>
      <c r="E71" s="4" t="s">
        <v>80</v>
      </c>
      <c r="F71" s="4" t="s">
        <v>524</v>
      </c>
      <c r="G71" s="7" t="n">
        <v>5727.15192974814</v>
      </c>
      <c r="H71" s="7" t="n">
        <v>10217.5384582389</v>
      </c>
      <c r="I71" s="7" t="n">
        <v>0</v>
      </c>
    </row>
    <row r="72" customFormat="false" ht="15" hidden="false" customHeight="false" outlineLevel="0" collapsed="false">
      <c r="A72" s="4" t="s">
        <v>239</v>
      </c>
      <c r="B72" s="4" t="s">
        <v>240</v>
      </c>
      <c r="C72" s="4" t="s">
        <v>112</v>
      </c>
      <c r="D72" s="4" t="s">
        <v>79</v>
      </c>
      <c r="E72" s="4" t="s">
        <v>80</v>
      </c>
      <c r="F72" s="4" t="s">
        <v>525</v>
      </c>
      <c r="G72" s="7" t="n">
        <v>220466.966149422</v>
      </c>
      <c r="H72" s="7" t="n">
        <v>399103.392720513</v>
      </c>
      <c r="I72" s="7" t="n">
        <v>0</v>
      </c>
    </row>
    <row r="73" customFormat="false" ht="15" hidden="false" customHeight="false" outlineLevel="0" collapsed="false">
      <c r="A73" s="4" t="s">
        <v>241</v>
      </c>
      <c r="B73" s="4" t="s">
        <v>242</v>
      </c>
      <c r="C73" s="4" t="s">
        <v>104</v>
      </c>
      <c r="D73" s="4" t="s">
        <v>43</v>
      </c>
      <c r="E73" s="4" t="s">
        <v>44</v>
      </c>
      <c r="F73" s="4" t="s">
        <v>526</v>
      </c>
      <c r="G73" s="7" t="n">
        <v>2706.79905723085</v>
      </c>
      <c r="H73" s="7" t="n">
        <v>1482.14180761295</v>
      </c>
      <c r="I73" s="7" t="n">
        <v>0</v>
      </c>
    </row>
    <row r="74" customFormat="false" ht="15" hidden="false" customHeight="false" outlineLevel="0" collapsed="false">
      <c r="A74" s="4" t="s">
        <v>243</v>
      </c>
      <c r="B74" s="4" t="s">
        <v>244</v>
      </c>
      <c r="C74" s="4" t="s">
        <v>112</v>
      </c>
      <c r="D74" s="4" t="s">
        <v>79</v>
      </c>
      <c r="E74" s="4" t="s">
        <v>80</v>
      </c>
      <c r="F74" s="4" t="s">
        <v>527</v>
      </c>
      <c r="G74" s="7" t="n">
        <v>2430.69337924247</v>
      </c>
      <c r="H74" s="7" t="n">
        <v>1411.40433210087</v>
      </c>
      <c r="I74" s="7" t="n">
        <v>67.6251045364281</v>
      </c>
    </row>
    <row r="75" customFormat="false" ht="15" hidden="false" customHeight="false" outlineLevel="0" collapsed="false">
      <c r="A75" s="4" t="s">
        <v>245</v>
      </c>
      <c r="B75" s="4" t="s">
        <v>246</v>
      </c>
      <c r="C75" s="4" t="s">
        <v>104</v>
      </c>
      <c r="D75" s="4" t="s">
        <v>41</v>
      </c>
      <c r="E75" s="4" t="s">
        <v>42</v>
      </c>
      <c r="F75" s="4" t="s">
        <v>528</v>
      </c>
      <c r="G75" s="7" t="n">
        <v>4467.68081576437</v>
      </c>
      <c r="H75" s="7" t="n">
        <v>1046.65921244253</v>
      </c>
      <c r="I75" s="7" t="n">
        <v>33883.4254480468</v>
      </c>
    </row>
    <row r="76" customFormat="false" ht="15" hidden="false" customHeight="false" outlineLevel="0" collapsed="false">
      <c r="A76" s="4" t="s">
        <v>247</v>
      </c>
      <c r="B76" s="4" t="s">
        <v>86</v>
      </c>
      <c r="C76" s="4" t="s">
        <v>146</v>
      </c>
      <c r="D76" s="4" t="s">
        <v>85</v>
      </c>
      <c r="E76" s="4" t="s">
        <v>86</v>
      </c>
      <c r="F76" s="4" t="s">
        <v>529</v>
      </c>
      <c r="G76" s="7" t="n">
        <v>9659338.90346844</v>
      </c>
      <c r="H76" s="7" t="n">
        <v>171008.497293329</v>
      </c>
      <c r="I76" s="7" t="n">
        <v>1195461.1513039</v>
      </c>
    </row>
    <row r="77" customFormat="false" ht="15" hidden="false" customHeight="false" outlineLevel="0" collapsed="false">
      <c r="A77" s="4" t="s">
        <v>51</v>
      </c>
      <c r="B77" s="4" t="s">
        <v>52</v>
      </c>
      <c r="C77" s="4" t="s">
        <v>99</v>
      </c>
      <c r="D77" s="4" t="s">
        <v>51</v>
      </c>
      <c r="E77" s="4" t="s">
        <v>52</v>
      </c>
      <c r="F77" s="4" t="s">
        <v>530</v>
      </c>
      <c r="G77" s="7" t="n">
        <v>1115761.72409096</v>
      </c>
      <c r="H77" s="7" t="n">
        <v>720748.428152093</v>
      </c>
      <c r="I77" s="7" t="n">
        <v>207019.971634074</v>
      </c>
    </row>
    <row r="78" customFormat="false" ht="15" hidden="false" customHeight="false" outlineLevel="0" collapsed="false">
      <c r="A78" s="4" t="s">
        <v>248</v>
      </c>
      <c r="B78" s="4" t="s">
        <v>249</v>
      </c>
      <c r="C78" s="4" t="s">
        <v>104</v>
      </c>
      <c r="D78" s="4" t="s">
        <v>41</v>
      </c>
      <c r="E78" s="4" t="s">
        <v>42</v>
      </c>
      <c r="F78" s="4" t="s">
        <v>531</v>
      </c>
      <c r="G78" s="7" t="n">
        <v>4299.07550338861</v>
      </c>
      <c r="H78" s="7" t="n">
        <v>2595.23805625414</v>
      </c>
      <c r="I78" s="7" t="n">
        <v>59409.7448103676</v>
      </c>
    </row>
    <row r="79" customFormat="false" ht="15" hidden="false" customHeight="false" outlineLevel="0" collapsed="false">
      <c r="A79" s="4" t="s">
        <v>250</v>
      </c>
      <c r="B79" s="4" t="s">
        <v>251</v>
      </c>
      <c r="C79" s="4" t="s">
        <v>99</v>
      </c>
      <c r="D79" s="4" t="s">
        <v>77</v>
      </c>
      <c r="E79" s="4" t="s">
        <v>78</v>
      </c>
      <c r="F79" s="4" t="s">
        <v>532</v>
      </c>
      <c r="G79" s="7" t="n">
        <v>802.976597524617</v>
      </c>
      <c r="H79" s="7" t="n">
        <v>408.042868754232</v>
      </c>
      <c r="I79" s="7" t="n">
        <v>155.989036115692</v>
      </c>
    </row>
    <row r="80" customFormat="false" ht="15" hidden="false" customHeight="false" outlineLevel="0" collapsed="false">
      <c r="A80" s="4" t="s">
        <v>252</v>
      </c>
      <c r="B80" s="4" t="s">
        <v>253</v>
      </c>
      <c r="C80" s="4" t="s">
        <v>99</v>
      </c>
      <c r="D80" s="4" t="s">
        <v>77</v>
      </c>
      <c r="E80" s="4" t="s">
        <v>78</v>
      </c>
      <c r="F80" s="4" t="s">
        <v>533</v>
      </c>
      <c r="G80" s="7" t="n">
        <v>70.8509077876975</v>
      </c>
      <c r="H80" s="7" t="n">
        <v>11.9895989057024</v>
      </c>
      <c r="I80" s="7" t="n">
        <v>0.592896535494121</v>
      </c>
    </row>
    <row r="81" customFormat="false" ht="15" hidden="false" customHeight="false" outlineLevel="0" collapsed="false">
      <c r="A81" s="4" t="s">
        <v>254</v>
      </c>
      <c r="B81" s="4" t="s">
        <v>255</v>
      </c>
      <c r="C81" s="4" t="s">
        <v>99</v>
      </c>
      <c r="D81" s="4" t="s">
        <v>77</v>
      </c>
      <c r="E81" s="4" t="s">
        <v>78</v>
      </c>
      <c r="F81" s="4" t="s">
        <v>534</v>
      </c>
      <c r="G81" s="7" t="n">
        <v>344.390739578495</v>
      </c>
      <c r="H81" s="7" t="n">
        <v>44.3343472952842</v>
      </c>
      <c r="I81" s="7" t="n">
        <v>0</v>
      </c>
    </row>
    <row r="82" customFormat="false" ht="15" hidden="false" customHeight="false" outlineLevel="0" collapsed="false">
      <c r="A82" s="4" t="s">
        <v>256</v>
      </c>
      <c r="B82" s="4" t="s">
        <v>257</v>
      </c>
      <c r="C82" s="4" t="s">
        <v>104</v>
      </c>
      <c r="D82" s="4" t="s">
        <v>41</v>
      </c>
      <c r="E82" s="4" t="s">
        <v>42</v>
      </c>
      <c r="F82" s="4" t="s">
        <v>535</v>
      </c>
      <c r="G82" s="7" t="n">
        <v>19442.2259449134</v>
      </c>
      <c r="H82" s="7" t="n">
        <v>13761.9931742455</v>
      </c>
      <c r="I82" s="7" t="n">
        <v>5617.99999999997</v>
      </c>
    </row>
    <row r="83" customFormat="false" ht="15" hidden="false" customHeight="false" outlineLevel="0" collapsed="false">
      <c r="A83" s="4" t="s">
        <v>258</v>
      </c>
      <c r="B83" s="4" t="s">
        <v>259</v>
      </c>
      <c r="C83" s="4" t="s">
        <v>112</v>
      </c>
      <c r="D83" s="4" t="s">
        <v>79</v>
      </c>
      <c r="E83" s="4" t="s">
        <v>80</v>
      </c>
      <c r="F83" s="4" t="s">
        <v>536</v>
      </c>
      <c r="G83" s="7" t="n">
        <v>1019.55896940169</v>
      </c>
      <c r="H83" s="7" t="n">
        <v>1955.69356735469</v>
      </c>
      <c r="I83" s="7" t="n">
        <v>17.6382987423373</v>
      </c>
    </row>
    <row r="84" customFormat="false" ht="15" hidden="false" customHeight="false" outlineLevel="0" collapsed="false">
      <c r="A84" s="4" t="s">
        <v>260</v>
      </c>
      <c r="B84" s="4" t="s">
        <v>261</v>
      </c>
      <c r="C84" s="4" t="s">
        <v>99</v>
      </c>
      <c r="D84" s="4" t="s">
        <v>77</v>
      </c>
      <c r="E84" s="4" t="s">
        <v>78</v>
      </c>
      <c r="F84" s="4" t="s">
        <v>537</v>
      </c>
      <c r="G84" s="7" t="n">
        <v>1.08360921663658</v>
      </c>
      <c r="H84" s="7" t="n">
        <v>1.33733088712319</v>
      </c>
      <c r="I84" s="7" t="n">
        <v>0</v>
      </c>
    </row>
    <row r="85" customFormat="false" ht="15" hidden="false" customHeight="false" outlineLevel="0" collapsed="false">
      <c r="A85" s="4" t="s">
        <v>37</v>
      </c>
      <c r="B85" s="4" t="s">
        <v>38</v>
      </c>
      <c r="C85" s="4" t="s">
        <v>99</v>
      </c>
      <c r="D85" s="4" t="s">
        <v>37</v>
      </c>
      <c r="E85" s="4" t="s">
        <v>38</v>
      </c>
      <c r="F85" s="4" t="s">
        <v>538</v>
      </c>
      <c r="G85" s="7" t="n">
        <v>24181.7043882726</v>
      </c>
      <c r="H85" s="7" t="n">
        <v>2323.27727830482</v>
      </c>
      <c r="I85" s="7" t="n">
        <v>0</v>
      </c>
    </row>
    <row r="86" customFormat="false" ht="15" hidden="false" customHeight="false" outlineLevel="0" collapsed="false">
      <c r="A86" s="4" t="s">
        <v>262</v>
      </c>
      <c r="B86" s="4" t="s">
        <v>263</v>
      </c>
      <c r="C86" s="4" t="s">
        <v>158</v>
      </c>
      <c r="D86" s="4" t="s">
        <v>43</v>
      </c>
      <c r="E86" s="4" t="s">
        <v>44</v>
      </c>
      <c r="F86" s="4" t="s">
        <v>539</v>
      </c>
      <c r="G86" s="7" t="n">
        <v>5095.27089030645</v>
      </c>
      <c r="H86" s="7" t="n">
        <v>1846.57960642374</v>
      </c>
      <c r="I86" s="7" t="n">
        <v>0</v>
      </c>
    </row>
    <row r="87" customFormat="false" ht="15" hidden="false" customHeight="false" outlineLevel="0" collapsed="false">
      <c r="A87" s="4" t="s">
        <v>264</v>
      </c>
      <c r="B87" s="4" t="s">
        <v>265</v>
      </c>
      <c r="C87" s="4" t="s">
        <v>101</v>
      </c>
      <c r="D87" s="4" t="s">
        <v>61</v>
      </c>
      <c r="E87" s="4" t="s">
        <v>62</v>
      </c>
      <c r="F87" s="4" t="s">
        <v>540</v>
      </c>
      <c r="G87" s="7" t="n">
        <v>265041.834950152</v>
      </c>
      <c r="H87" s="7" t="n">
        <v>59944.2103398382</v>
      </c>
      <c r="I87" s="7" t="n">
        <v>9.46133547973633</v>
      </c>
    </row>
    <row r="88" customFormat="false" ht="15" hidden="false" customHeight="false" outlineLevel="0" collapsed="false">
      <c r="A88" s="4" t="s">
        <v>266</v>
      </c>
      <c r="B88" s="4" t="s">
        <v>267</v>
      </c>
      <c r="C88" s="4" t="s">
        <v>99</v>
      </c>
      <c r="D88" s="4" t="s">
        <v>43</v>
      </c>
      <c r="E88" s="4" t="s">
        <v>44</v>
      </c>
      <c r="F88" s="4" t="s">
        <v>541</v>
      </c>
      <c r="G88" s="7" t="n">
        <v>464.260651843392</v>
      </c>
      <c r="H88" s="7" t="n">
        <v>267.77427251447</v>
      </c>
      <c r="I88" s="7" t="n">
        <v>0</v>
      </c>
    </row>
    <row r="89" customFormat="false" ht="15" hidden="false" customHeight="false" outlineLevel="0" collapsed="false">
      <c r="A89" s="4" t="s">
        <v>268</v>
      </c>
      <c r="B89" s="4" t="s">
        <v>269</v>
      </c>
      <c r="C89" s="4" t="s">
        <v>146</v>
      </c>
      <c r="D89" s="4" t="s">
        <v>81</v>
      </c>
      <c r="E89" s="4" t="s">
        <v>82</v>
      </c>
      <c r="F89" s="4" t="s">
        <v>542</v>
      </c>
      <c r="G89" s="7" t="n">
        <v>1017039.99011094</v>
      </c>
      <c r="H89" s="7" t="n">
        <v>247257.353051959</v>
      </c>
      <c r="I89" s="7" t="n">
        <v>30725.051759815</v>
      </c>
    </row>
    <row r="90" customFormat="false" ht="15" hidden="false" customHeight="false" outlineLevel="0" collapsed="false">
      <c r="A90" s="4" t="s">
        <v>270</v>
      </c>
      <c r="B90" s="4" t="s">
        <v>271</v>
      </c>
      <c r="C90" s="4" t="s">
        <v>112</v>
      </c>
      <c r="D90" s="4" t="s">
        <v>79</v>
      </c>
      <c r="E90" s="4" t="s">
        <v>80</v>
      </c>
      <c r="F90" s="4" t="s">
        <v>469</v>
      </c>
      <c r="G90" s="7" t="n">
        <v>25.2399311698804</v>
      </c>
      <c r="H90" s="7" t="n">
        <v>14.5869219640587</v>
      </c>
      <c r="I90" s="7" t="n">
        <v>0</v>
      </c>
    </row>
    <row r="91" customFormat="false" ht="15" hidden="false" customHeight="false" outlineLevel="0" collapsed="false">
      <c r="A91" s="4" t="s">
        <v>83</v>
      </c>
      <c r="B91" s="4" t="s">
        <v>272</v>
      </c>
      <c r="C91" s="4" t="s">
        <v>99</v>
      </c>
      <c r="D91" s="4" t="s">
        <v>83</v>
      </c>
      <c r="E91" s="4" t="s">
        <v>84</v>
      </c>
      <c r="F91" s="4" t="s">
        <v>543</v>
      </c>
      <c r="G91" s="7" t="n">
        <v>3292.68188593891</v>
      </c>
      <c r="H91" s="7" t="n">
        <v>4894.87539945369</v>
      </c>
      <c r="I91" s="7" t="n">
        <v>54113.344603917</v>
      </c>
    </row>
    <row r="92" customFormat="false" ht="15" hidden="false" customHeight="false" outlineLevel="0" collapsed="false">
      <c r="A92" s="4" t="s">
        <v>273</v>
      </c>
      <c r="B92" s="4" t="s">
        <v>274</v>
      </c>
      <c r="C92" s="4" t="s">
        <v>146</v>
      </c>
      <c r="D92" s="4" t="s">
        <v>81</v>
      </c>
      <c r="E92" s="4" t="s">
        <v>82</v>
      </c>
      <c r="F92" s="4" t="s">
        <v>544</v>
      </c>
      <c r="G92" s="7" t="n">
        <v>364498.024674522</v>
      </c>
      <c r="H92" s="7" t="n">
        <v>131795.336335738</v>
      </c>
      <c r="I92" s="7" t="n">
        <v>12216.9525860651</v>
      </c>
    </row>
    <row r="93" customFormat="false" ht="15" hidden="false" customHeight="false" outlineLevel="0" collapsed="false">
      <c r="A93" s="4" t="s">
        <v>275</v>
      </c>
      <c r="B93" s="4" t="s">
        <v>276</v>
      </c>
      <c r="C93" s="4" t="s">
        <v>99</v>
      </c>
      <c r="D93" s="4" t="s">
        <v>77</v>
      </c>
      <c r="E93" s="4" t="s">
        <v>78</v>
      </c>
      <c r="F93" s="4" t="s">
        <v>545</v>
      </c>
      <c r="G93" s="7" t="n">
        <v>215.51114989972</v>
      </c>
      <c r="H93" s="7" t="n">
        <v>50.1431299145897</v>
      </c>
      <c r="I93" s="7" t="n">
        <v>0</v>
      </c>
    </row>
    <row r="94" customFormat="false" ht="15" hidden="false" customHeight="false" outlineLevel="0" collapsed="false">
      <c r="A94" s="4" t="s">
        <v>277</v>
      </c>
      <c r="B94" s="4" t="s">
        <v>278</v>
      </c>
      <c r="C94" s="4" t="s">
        <v>101</v>
      </c>
      <c r="D94" s="4" t="s">
        <v>57</v>
      </c>
      <c r="E94" s="4" t="s">
        <v>58</v>
      </c>
      <c r="F94" s="4" t="s">
        <v>498</v>
      </c>
      <c r="G94" s="7" t="n">
        <v>167908.217481043</v>
      </c>
      <c r="H94" s="7" t="n">
        <v>372324.336207291</v>
      </c>
      <c r="I94" s="7" t="n">
        <v>27696.2896727132</v>
      </c>
    </row>
    <row r="95" customFormat="false" ht="15" hidden="false" customHeight="false" outlineLevel="0" collapsed="false">
      <c r="A95" s="4" t="s">
        <v>279</v>
      </c>
      <c r="B95" s="4" t="s">
        <v>280</v>
      </c>
      <c r="C95" s="4" t="s">
        <v>101</v>
      </c>
      <c r="D95" s="4" t="s">
        <v>55</v>
      </c>
      <c r="E95" s="4" t="s">
        <v>56</v>
      </c>
      <c r="F95" s="4" t="s">
        <v>546</v>
      </c>
      <c r="G95" s="7" t="n">
        <v>22.7748293343758</v>
      </c>
      <c r="H95" s="7" t="n">
        <v>17.4388000052238</v>
      </c>
      <c r="I95" s="7" t="n">
        <v>0</v>
      </c>
    </row>
    <row r="96" customFormat="false" ht="15" hidden="false" customHeight="false" outlineLevel="0" collapsed="false">
      <c r="A96" s="4" t="s">
        <v>281</v>
      </c>
      <c r="B96" s="4" t="s">
        <v>282</v>
      </c>
      <c r="C96" s="4" t="s">
        <v>112</v>
      </c>
      <c r="D96" s="4" t="s">
        <v>79</v>
      </c>
      <c r="E96" s="4" t="s">
        <v>80</v>
      </c>
      <c r="F96" s="4" t="s">
        <v>469</v>
      </c>
      <c r="G96" s="7" t="n">
        <v>53.3922572034889</v>
      </c>
      <c r="H96" s="7" t="n">
        <v>6.84084719884528</v>
      </c>
      <c r="I96" s="7" t="n">
        <v>0</v>
      </c>
    </row>
    <row r="97" customFormat="false" ht="15" hidden="false" customHeight="false" outlineLevel="0" collapsed="false">
      <c r="A97" s="4" t="s">
        <v>283</v>
      </c>
      <c r="B97" s="4" t="s">
        <v>284</v>
      </c>
      <c r="C97" s="4" t="s">
        <v>99</v>
      </c>
      <c r="D97" s="4" t="s">
        <v>81</v>
      </c>
      <c r="E97" s="4" t="s">
        <v>82</v>
      </c>
      <c r="F97" s="4" t="s">
        <v>547</v>
      </c>
      <c r="G97" s="7" t="n">
        <v>167135.466222396</v>
      </c>
      <c r="H97" s="7" t="n">
        <v>15179.4626281894</v>
      </c>
      <c r="I97" s="7" t="n">
        <v>5304.92465930626</v>
      </c>
    </row>
    <row r="98" customFormat="false" ht="15" hidden="false" customHeight="false" outlineLevel="0" collapsed="false">
      <c r="A98" s="4" t="s">
        <v>285</v>
      </c>
      <c r="B98" s="4" t="s">
        <v>286</v>
      </c>
      <c r="C98" s="4" t="s">
        <v>101</v>
      </c>
      <c r="D98" s="4" t="s">
        <v>69</v>
      </c>
      <c r="E98" s="4" t="s">
        <v>70</v>
      </c>
      <c r="F98" s="4" t="s">
        <v>548</v>
      </c>
      <c r="G98" s="7" t="n">
        <v>35.7563023508733</v>
      </c>
      <c r="H98" s="7" t="n">
        <v>38.0545739398407</v>
      </c>
      <c r="I98" s="7" t="n">
        <v>0</v>
      </c>
    </row>
    <row r="99" customFormat="false" ht="15" hidden="false" customHeight="false" outlineLevel="0" collapsed="false">
      <c r="A99" s="4" t="s">
        <v>287</v>
      </c>
      <c r="B99" s="4" t="s">
        <v>288</v>
      </c>
      <c r="C99" s="4" t="s">
        <v>104</v>
      </c>
      <c r="D99" s="4" t="s">
        <v>41</v>
      </c>
      <c r="E99" s="4" t="s">
        <v>42</v>
      </c>
      <c r="F99" s="4" t="s">
        <v>549</v>
      </c>
      <c r="G99" s="7" t="n">
        <v>2307.24425011043</v>
      </c>
      <c r="H99" s="7" t="n">
        <v>372.550345595344</v>
      </c>
      <c r="I99" s="7" t="n">
        <v>0</v>
      </c>
    </row>
    <row r="100" customFormat="false" ht="15" hidden="false" customHeight="false" outlineLevel="0" collapsed="false">
      <c r="A100" s="4" t="s">
        <v>289</v>
      </c>
      <c r="B100" s="4" t="s">
        <v>290</v>
      </c>
      <c r="C100" s="4" t="s">
        <v>104</v>
      </c>
      <c r="D100" s="4" t="s">
        <v>41</v>
      </c>
      <c r="E100" s="4" t="s">
        <v>42</v>
      </c>
      <c r="F100" s="4" t="s">
        <v>550</v>
      </c>
      <c r="G100" s="7" t="n">
        <v>92.4598612390108</v>
      </c>
      <c r="H100" s="7" t="n">
        <v>43.4469939854071</v>
      </c>
      <c r="I100" s="7" t="n">
        <v>0</v>
      </c>
    </row>
    <row r="101" customFormat="false" ht="15" hidden="false" customHeight="false" outlineLevel="0" collapsed="false">
      <c r="A101" s="4" t="s">
        <v>291</v>
      </c>
      <c r="B101" s="4" t="s">
        <v>292</v>
      </c>
      <c r="C101" s="4" t="s">
        <v>104</v>
      </c>
      <c r="D101" s="4" t="s">
        <v>41</v>
      </c>
      <c r="E101" s="4" t="s">
        <v>42</v>
      </c>
      <c r="F101" s="4" t="s">
        <v>551</v>
      </c>
      <c r="G101" s="7" t="n">
        <v>4601.40762563905</v>
      </c>
      <c r="H101" s="7" t="n">
        <v>821.450558759022</v>
      </c>
      <c r="I101" s="7" t="n">
        <v>22956</v>
      </c>
    </row>
    <row r="102" customFormat="false" ht="15" hidden="false" customHeight="false" outlineLevel="0" collapsed="false">
      <c r="A102" s="4" t="s">
        <v>293</v>
      </c>
      <c r="B102" s="4" t="s">
        <v>294</v>
      </c>
      <c r="C102" s="4" t="s">
        <v>101</v>
      </c>
      <c r="D102" s="4" t="s">
        <v>55</v>
      </c>
      <c r="E102" s="4" t="s">
        <v>56</v>
      </c>
      <c r="F102" s="4" t="s">
        <v>552</v>
      </c>
      <c r="G102" s="7" t="n">
        <v>3264.0958015667</v>
      </c>
      <c r="H102" s="7" t="n">
        <v>349.38552199119</v>
      </c>
      <c r="I102" s="7" t="n">
        <v>223.348415521307</v>
      </c>
    </row>
    <row r="103" customFormat="false" ht="15" hidden="false" customHeight="false" outlineLevel="0" collapsed="false">
      <c r="A103" s="4" t="s">
        <v>295</v>
      </c>
      <c r="B103" s="4" t="s">
        <v>296</v>
      </c>
      <c r="C103" s="4" t="s">
        <v>104</v>
      </c>
      <c r="D103" s="4" t="s">
        <v>43</v>
      </c>
      <c r="E103" s="4" t="s">
        <v>44</v>
      </c>
      <c r="F103" s="4" t="s">
        <v>553</v>
      </c>
      <c r="G103" s="7" t="n">
        <v>614.97718957442</v>
      </c>
      <c r="H103" s="7" t="n">
        <v>2.82523457285952</v>
      </c>
      <c r="I103" s="7" t="n">
        <v>0</v>
      </c>
    </row>
    <row r="104" customFormat="false" ht="15" hidden="false" customHeight="false" outlineLevel="0" collapsed="false">
      <c r="A104" s="4" t="s">
        <v>297</v>
      </c>
      <c r="B104" s="4" t="s">
        <v>298</v>
      </c>
      <c r="C104" s="4" t="s">
        <v>101</v>
      </c>
      <c r="D104" s="4" t="s">
        <v>61</v>
      </c>
      <c r="E104" s="4" t="s">
        <v>62</v>
      </c>
      <c r="F104" s="4" t="s">
        <v>554</v>
      </c>
      <c r="G104" s="7" t="n">
        <v>247206.721393278</v>
      </c>
      <c r="H104" s="7" t="n">
        <v>456575.92391173</v>
      </c>
      <c r="I104" s="7" t="n">
        <v>11533.2537777301</v>
      </c>
    </row>
    <row r="105" customFormat="false" ht="15" hidden="false" customHeight="false" outlineLevel="0" collapsed="false">
      <c r="A105" s="4" t="s">
        <v>299</v>
      </c>
      <c r="B105" s="4" t="s">
        <v>300</v>
      </c>
      <c r="C105" s="4" t="s">
        <v>99</v>
      </c>
      <c r="D105" s="4" t="s">
        <v>81</v>
      </c>
      <c r="E105" s="4" t="s">
        <v>82</v>
      </c>
      <c r="F105" s="4" t="s">
        <v>485</v>
      </c>
      <c r="G105" s="7" t="n">
        <v>1.91160288085938</v>
      </c>
      <c r="H105" s="7" t="n">
        <v>18.3263439154233</v>
      </c>
      <c r="I105" s="7" t="n">
        <v>0</v>
      </c>
    </row>
    <row r="106" customFormat="false" ht="15" hidden="false" customHeight="false" outlineLevel="0" collapsed="false">
      <c r="A106" s="4" t="s">
        <v>35</v>
      </c>
      <c r="B106" s="4" t="s">
        <v>301</v>
      </c>
      <c r="C106" s="4" t="s">
        <v>112</v>
      </c>
      <c r="D106" s="4" t="s">
        <v>35</v>
      </c>
      <c r="E106" s="4" t="s">
        <v>36</v>
      </c>
      <c r="F106" s="4" t="s">
        <v>555</v>
      </c>
      <c r="G106" s="7" t="n">
        <v>1168790.82038739</v>
      </c>
      <c r="H106" s="7" t="n">
        <v>409205.651185724</v>
      </c>
      <c r="I106" s="7" t="n">
        <v>25971.0461945872</v>
      </c>
    </row>
    <row r="107" customFormat="false" ht="15" hidden="false" customHeight="false" outlineLevel="0" collapsed="false">
      <c r="A107" s="4" t="s">
        <v>302</v>
      </c>
      <c r="B107" s="4" t="s">
        <v>303</v>
      </c>
      <c r="C107" s="4" t="s">
        <v>104</v>
      </c>
      <c r="D107" s="4" t="s">
        <v>43</v>
      </c>
      <c r="E107" s="4" t="s">
        <v>44</v>
      </c>
      <c r="F107" s="4" t="s">
        <v>479</v>
      </c>
      <c r="G107" s="7" t="n">
        <v>685.804918450283</v>
      </c>
      <c r="H107" s="7" t="n">
        <v>443.427988459232</v>
      </c>
      <c r="I107" s="7" t="n">
        <v>0</v>
      </c>
    </row>
    <row r="108" customFormat="false" ht="15" hidden="false" customHeight="false" outlineLevel="0" collapsed="false">
      <c r="A108" s="4" t="s">
        <v>304</v>
      </c>
      <c r="B108" s="4" t="s">
        <v>305</v>
      </c>
      <c r="C108" s="4" t="s">
        <v>101</v>
      </c>
      <c r="D108" s="4" t="s">
        <v>57</v>
      </c>
      <c r="E108" s="4" t="s">
        <v>58</v>
      </c>
      <c r="F108" s="4" t="s">
        <v>556</v>
      </c>
      <c r="G108" s="7" t="n">
        <v>4643.35821473285</v>
      </c>
      <c r="H108" s="7" t="n">
        <v>781.334665471108</v>
      </c>
      <c r="I108" s="7" t="n">
        <v>0</v>
      </c>
    </row>
    <row r="109" customFormat="false" ht="15" hidden="false" customHeight="false" outlineLevel="0" collapsed="false">
      <c r="A109" s="4" t="s">
        <v>306</v>
      </c>
      <c r="B109" s="4" t="s">
        <v>307</v>
      </c>
      <c r="C109" s="4" t="s">
        <v>104</v>
      </c>
      <c r="D109" s="4" t="s">
        <v>41</v>
      </c>
      <c r="E109" s="4" t="s">
        <v>42</v>
      </c>
      <c r="F109" s="4" t="s">
        <v>557</v>
      </c>
      <c r="G109" s="7" t="n">
        <v>4.44224274558954</v>
      </c>
      <c r="H109" s="7" t="n">
        <v>5.11055010713926</v>
      </c>
      <c r="I109" s="7" t="n">
        <v>0.00541809697823781</v>
      </c>
    </row>
    <row r="110" customFormat="false" ht="15" hidden="false" customHeight="false" outlineLevel="0" collapsed="false">
      <c r="A110" s="4" t="s">
        <v>308</v>
      </c>
      <c r="B110" s="4" t="s">
        <v>309</v>
      </c>
      <c r="C110" s="4" t="s">
        <v>146</v>
      </c>
      <c r="D110" s="4" t="s">
        <v>81</v>
      </c>
      <c r="E110" s="4" t="s">
        <v>82</v>
      </c>
      <c r="F110" s="4" t="s">
        <v>558</v>
      </c>
      <c r="G110" s="7" t="n">
        <v>1432208.02964692</v>
      </c>
      <c r="H110" s="7" t="n">
        <v>576109.726521381</v>
      </c>
      <c r="I110" s="7" t="n">
        <v>31017.7739317518</v>
      </c>
    </row>
    <row r="111" customFormat="false" ht="15" hidden="false" customHeight="false" outlineLevel="0" collapsed="false">
      <c r="A111" s="4" t="s">
        <v>310</v>
      </c>
      <c r="B111" s="4" t="s">
        <v>311</v>
      </c>
      <c r="C111" s="4" t="s">
        <v>104</v>
      </c>
      <c r="D111" s="4" t="s">
        <v>43</v>
      </c>
      <c r="E111" s="4" t="s">
        <v>44</v>
      </c>
      <c r="F111" s="4" t="s">
        <v>479</v>
      </c>
      <c r="G111" s="7" t="n">
        <v>482.028848631327</v>
      </c>
      <c r="H111" s="7" t="n">
        <v>424.272118384933</v>
      </c>
      <c r="I111" s="7" t="n">
        <v>0</v>
      </c>
    </row>
    <row r="112" customFormat="false" ht="15" hidden="false" customHeight="false" outlineLevel="0" collapsed="false">
      <c r="A112" s="4" t="s">
        <v>312</v>
      </c>
      <c r="B112" s="4" t="s">
        <v>313</v>
      </c>
      <c r="C112" s="4" t="s">
        <v>158</v>
      </c>
      <c r="D112" s="4" t="s">
        <v>81</v>
      </c>
      <c r="E112" s="4" t="s">
        <v>82</v>
      </c>
      <c r="F112" s="4" t="s">
        <v>559</v>
      </c>
      <c r="G112" s="7" t="n">
        <v>2385.90673132332</v>
      </c>
      <c r="H112" s="7" t="n">
        <v>430.442749849835</v>
      </c>
      <c r="I112" s="7" t="n">
        <v>844.966482703746</v>
      </c>
    </row>
    <row r="113" customFormat="false" ht="15" hidden="false" customHeight="false" outlineLevel="0" collapsed="false">
      <c r="A113" s="4" t="s">
        <v>314</v>
      </c>
      <c r="B113" s="4" t="s">
        <v>315</v>
      </c>
      <c r="C113" s="4" t="s">
        <v>101</v>
      </c>
      <c r="D113" s="4" t="s">
        <v>61</v>
      </c>
      <c r="E113" s="4" t="s">
        <v>62</v>
      </c>
      <c r="F113" s="4" t="s">
        <v>560</v>
      </c>
      <c r="G113" s="7" t="n">
        <v>534563.785697086</v>
      </c>
      <c r="H113" s="7" t="n">
        <v>343151.493832064</v>
      </c>
      <c r="I113" s="7" t="n">
        <v>3903.1324365804</v>
      </c>
    </row>
    <row r="114" customFormat="false" ht="15" hidden="false" customHeight="false" outlineLevel="0" collapsed="false">
      <c r="A114" s="4" t="s">
        <v>316</v>
      </c>
      <c r="B114" s="4" t="s">
        <v>317</v>
      </c>
      <c r="C114" s="4" t="s">
        <v>101</v>
      </c>
      <c r="D114" s="4" t="s">
        <v>57</v>
      </c>
      <c r="E114" s="4" t="s">
        <v>58</v>
      </c>
      <c r="F114" s="4" t="s">
        <v>561</v>
      </c>
      <c r="G114" s="7" t="n">
        <v>24.6129457668851</v>
      </c>
      <c r="H114" s="7" t="n">
        <v>3.02478241915003</v>
      </c>
      <c r="I114" s="7" t="n">
        <v>0</v>
      </c>
    </row>
    <row r="115" customFormat="false" ht="15" hidden="false" customHeight="false" outlineLevel="0" collapsed="false">
      <c r="A115" s="4" t="s">
        <v>318</v>
      </c>
      <c r="B115" s="4" t="s">
        <v>319</v>
      </c>
      <c r="C115" s="4" t="s">
        <v>112</v>
      </c>
      <c r="D115" s="4" t="s">
        <v>41</v>
      </c>
      <c r="E115" s="4" t="s">
        <v>42</v>
      </c>
      <c r="F115" s="4" t="s">
        <v>520</v>
      </c>
      <c r="G115" s="7" t="n">
        <v>51.0906051271207</v>
      </c>
      <c r="H115" s="7" t="n">
        <v>57.2593596988064</v>
      </c>
      <c r="I115" s="7" t="n">
        <v>3.29922291120052</v>
      </c>
    </row>
    <row r="116" customFormat="false" ht="15" hidden="false" customHeight="false" outlineLevel="0" collapsed="false">
      <c r="A116" s="4" t="s">
        <v>320</v>
      </c>
      <c r="B116" s="4" t="s">
        <v>321</v>
      </c>
      <c r="C116" s="4" t="s">
        <v>101</v>
      </c>
      <c r="D116" s="4" t="s">
        <v>61</v>
      </c>
      <c r="E116" s="4" t="s">
        <v>62</v>
      </c>
      <c r="F116" s="4" t="s">
        <v>562</v>
      </c>
      <c r="G116" s="7" t="n">
        <v>66.1679010055283</v>
      </c>
      <c r="H116" s="7" t="n">
        <v>551.332647752131</v>
      </c>
      <c r="I116" s="7" t="n">
        <v>0</v>
      </c>
    </row>
    <row r="117" customFormat="false" ht="15" hidden="false" customHeight="false" outlineLevel="0" collapsed="false">
      <c r="A117" s="4" t="s">
        <v>322</v>
      </c>
      <c r="B117" s="4" t="s">
        <v>323</v>
      </c>
      <c r="C117" s="4" t="s">
        <v>101</v>
      </c>
      <c r="D117" s="4" t="s">
        <v>61</v>
      </c>
      <c r="E117" s="4" t="s">
        <v>62</v>
      </c>
      <c r="F117" s="4" t="s">
        <v>563</v>
      </c>
      <c r="G117" s="7" t="n">
        <v>187754.585854282</v>
      </c>
      <c r="H117" s="7" t="n">
        <v>16362.3335319634</v>
      </c>
      <c r="I117" s="7" t="n">
        <v>0</v>
      </c>
    </row>
    <row r="118" customFormat="false" ht="15" hidden="false" customHeight="false" outlineLevel="0" collapsed="false">
      <c r="A118" s="4" t="s">
        <v>324</v>
      </c>
      <c r="B118" s="4" t="s">
        <v>325</v>
      </c>
      <c r="C118" s="4" t="s">
        <v>146</v>
      </c>
      <c r="D118" s="4" t="s">
        <v>47</v>
      </c>
      <c r="E118" s="4" t="s">
        <v>48</v>
      </c>
      <c r="F118" s="4" t="s">
        <v>564</v>
      </c>
      <c r="G118" s="7" t="n">
        <v>2218914.96553373</v>
      </c>
      <c r="H118" s="7" t="n">
        <v>249599.428134229</v>
      </c>
      <c r="I118" s="7" t="n">
        <v>287500.045853138</v>
      </c>
    </row>
    <row r="119" customFormat="false" ht="15" hidden="false" customHeight="false" outlineLevel="0" collapsed="false">
      <c r="A119" s="4" t="s">
        <v>326</v>
      </c>
      <c r="B119" s="4" t="s">
        <v>327</v>
      </c>
      <c r="C119" s="4" t="s">
        <v>101</v>
      </c>
      <c r="D119" s="4" t="s">
        <v>59</v>
      </c>
      <c r="E119" s="4" t="s">
        <v>60</v>
      </c>
      <c r="F119" s="4" t="s">
        <v>565</v>
      </c>
      <c r="G119" s="7" t="n">
        <v>380.279074941131</v>
      </c>
      <c r="H119" s="7" t="n">
        <v>1597.57350577822</v>
      </c>
      <c r="I119" s="7" t="n">
        <v>0</v>
      </c>
    </row>
    <row r="120" customFormat="false" ht="15" hidden="false" customHeight="false" outlineLevel="0" collapsed="false">
      <c r="A120" s="4" t="s">
        <v>328</v>
      </c>
      <c r="B120" s="4" t="s">
        <v>329</v>
      </c>
      <c r="C120" s="4" t="s">
        <v>115</v>
      </c>
      <c r="D120" s="4" t="s">
        <v>39</v>
      </c>
      <c r="E120" s="4" t="s">
        <v>40</v>
      </c>
      <c r="F120" s="4" t="s">
        <v>513</v>
      </c>
      <c r="G120" s="7" t="n">
        <v>1274.85313801633</v>
      </c>
      <c r="H120" s="7" t="n">
        <v>517.731826891713</v>
      </c>
      <c r="I120" s="7" t="n">
        <v>253.157479256497</v>
      </c>
    </row>
    <row r="121" customFormat="false" ht="15" hidden="false" customHeight="false" outlineLevel="0" collapsed="false">
      <c r="A121" s="4" t="s">
        <v>330</v>
      </c>
      <c r="B121" s="4" t="s">
        <v>331</v>
      </c>
      <c r="C121" s="4" t="s">
        <v>101</v>
      </c>
      <c r="D121" s="4" t="s">
        <v>57</v>
      </c>
      <c r="E121" s="4" t="s">
        <v>58</v>
      </c>
      <c r="F121" s="4" t="s">
        <v>566</v>
      </c>
      <c r="G121" s="7" t="n">
        <v>0.496196821056205</v>
      </c>
      <c r="H121" s="7" t="n">
        <v>2.94658842968874</v>
      </c>
      <c r="I121" s="7" t="n">
        <v>0.0118776398800557</v>
      </c>
    </row>
    <row r="122" customFormat="false" ht="15" hidden="false" customHeight="false" outlineLevel="0" collapsed="false">
      <c r="A122" s="4" t="s">
        <v>332</v>
      </c>
      <c r="B122" s="4" t="s">
        <v>72</v>
      </c>
      <c r="C122" s="4" t="s">
        <v>101</v>
      </c>
      <c r="D122" s="4" t="s">
        <v>71</v>
      </c>
      <c r="E122" s="4" t="s">
        <v>72</v>
      </c>
      <c r="F122" s="4" t="s">
        <v>567</v>
      </c>
      <c r="G122" s="7" t="n">
        <v>1193941.86460592</v>
      </c>
      <c r="H122" s="7" t="n">
        <v>484665.965259834</v>
      </c>
      <c r="I122" s="7" t="n">
        <v>0</v>
      </c>
    </row>
    <row r="123" customFormat="false" ht="15" hidden="false" customHeight="false" outlineLevel="0" collapsed="false">
      <c r="A123" s="4" t="s">
        <v>333</v>
      </c>
      <c r="B123" s="4" t="s">
        <v>334</v>
      </c>
      <c r="C123" s="4" t="s">
        <v>112</v>
      </c>
      <c r="D123" s="4" t="s">
        <v>79</v>
      </c>
      <c r="E123" s="4" t="s">
        <v>80</v>
      </c>
      <c r="F123" s="4" t="s">
        <v>568</v>
      </c>
      <c r="G123" s="7" t="n">
        <v>91556.0028860759</v>
      </c>
      <c r="H123" s="7" t="n">
        <v>376272.629126495</v>
      </c>
      <c r="I123" s="7" t="n">
        <v>5960.9217426788</v>
      </c>
    </row>
    <row r="124" customFormat="false" ht="15" hidden="false" customHeight="false" outlineLevel="0" collapsed="false">
      <c r="A124" s="4" t="s">
        <v>335</v>
      </c>
      <c r="B124" s="4" t="s">
        <v>336</v>
      </c>
      <c r="C124" s="4" t="s">
        <v>104</v>
      </c>
      <c r="D124" s="4" t="s">
        <v>41</v>
      </c>
      <c r="E124" s="4" t="s">
        <v>42</v>
      </c>
      <c r="F124" s="4" t="s">
        <v>569</v>
      </c>
      <c r="G124" s="7" t="n">
        <v>1601.90269034851</v>
      </c>
      <c r="H124" s="7" t="n">
        <v>511.591362510775</v>
      </c>
      <c r="I124" s="7" t="n">
        <v>0</v>
      </c>
    </row>
    <row r="125" customFormat="false" ht="15" hidden="false" customHeight="false" outlineLevel="0" collapsed="false">
      <c r="A125" s="4" t="s">
        <v>337</v>
      </c>
      <c r="B125" s="4" t="s">
        <v>338</v>
      </c>
      <c r="C125" s="4" t="s">
        <v>104</v>
      </c>
      <c r="D125" s="4" t="s">
        <v>41</v>
      </c>
      <c r="E125" s="4" t="s">
        <v>42</v>
      </c>
      <c r="F125" s="4" t="s">
        <v>570</v>
      </c>
      <c r="G125" s="7" t="n">
        <v>5413.57857960227</v>
      </c>
      <c r="H125" s="7" t="n">
        <v>9512.22801988545</v>
      </c>
      <c r="I125" s="7" t="n">
        <v>90600</v>
      </c>
    </row>
    <row r="126" customFormat="false" ht="15" hidden="false" customHeight="false" outlineLevel="0" collapsed="false">
      <c r="A126" s="4" t="s">
        <v>339</v>
      </c>
      <c r="B126" s="4" t="s">
        <v>340</v>
      </c>
      <c r="C126" s="4" t="s">
        <v>99</v>
      </c>
      <c r="D126" s="4" t="s">
        <v>81</v>
      </c>
      <c r="E126" s="4" t="s">
        <v>82</v>
      </c>
      <c r="F126" s="4" t="s">
        <v>571</v>
      </c>
      <c r="G126" s="7" t="n">
        <v>6147.12835528087</v>
      </c>
      <c r="H126" s="7" t="n">
        <v>19362.4826972997</v>
      </c>
      <c r="I126" s="7" t="n">
        <v>4143.70516693407</v>
      </c>
    </row>
    <row r="127" customFormat="false" ht="15" hidden="false" customHeight="false" outlineLevel="0" collapsed="false">
      <c r="A127" s="4" t="s">
        <v>341</v>
      </c>
      <c r="B127" s="4" t="s">
        <v>342</v>
      </c>
      <c r="C127" s="4" t="s">
        <v>115</v>
      </c>
      <c r="D127" s="4" t="s">
        <v>39</v>
      </c>
      <c r="E127" s="4" t="s">
        <v>40</v>
      </c>
      <c r="F127" s="4" t="s">
        <v>572</v>
      </c>
      <c r="G127" s="7" t="n">
        <v>90757.6100082886</v>
      </c>
      <c r="H127" s="7" t="n">
        <v>8061.25799855002</v>
      </c>
      <c r="I127" s="7" t="n">
        <v>139554.900298188</v>
      </c>
    </row>
    <row r="128" customFormat="false" ht="15" hidden="false" customHeight="false" outlineLevel="0" collapsed="false">
      <c r="A128" s="4" t="s">
        <v>343</v>
      </c>
      <c r="B128" s="4" t="s">
        <v>344</v>
      </c>
      <c r="C128" s="4" t="s">
        <v>99</v>
      </c>
      <c r="D128" s="4" t="s">
        <v>77</v>
      </c>
      <c r="E128" s="4" t="s">
        <v>78</v>
      </c>
      <c r="F128" s="4" t="s">
        <v>573</v>
      </c>
      <c r="G128" s="7" t="n">
        <v>0.0692375305175781</v>
      </c>
      <c r="H128" s="7" t="n">
        <v>0</v>
      </c>
      <c r="I128" s="7" t="n">
        <v>0</v>
      </c>
    </row>
    <row r="129" customFormat="false" ht="15" hidden="false" customHeight="false" outlineLevel="0" collapsed="false">
      <c r="A129" s="4" t="s">
        <v>345</v>
      </c>
      <c r="B129" s="4" t="s">
        <v>346</v>
      </c>
      <c r="C129" s="4" t="s">
        <v>99</v>
      </c>
      <c r="D129" s="4" t="s">
        <v>81</v>
      </c>
      <c r="E129" s="4" t="s">
        <v>82</v>
      </c>
      <c r="F129" s="4" t="s">
        <v>574</v>
      </c>
      <c r="G129" s="7" t="n">
        <v>628.072206131257</v>
      </c>
      <c r="H129" s="7" t="n">
        <v>464.389817696797</v>
      </c>
      <c r="I129" s="7" t="n">
        <v>0</v>
      </c>
    </row>
    <row r="130" customFormat="false" ht="15" hidden="false" customHeight="false" outlineLevel="0" collapsed="false">
      <c r="A130" s="4" t="s">
        <v>347</v>
      </c>
      <c r="B130" s="4" t="s">
        <v>348</v>
      </c>
      <c r="C130" s="4" t="s">
        <v>112</v>
      </c>
      <c r="D130" s="4" t="s">
        <v>79</v>
      </c>
      <c r="E130" s="4" t="s">
        <v>80</v>
      </c>
      <c r="F130" s="4" t="s">
        <v>575</v>
      </c>
      <c r="G130" s="7" t="n">
        <v>103942.342616647</v>
      </c>
      <c r="H130" s="7" t="n">
        <v>25484.5534638582</v>
      </c>
      <c r="I130" s="7" t="n">
        <v>1742.19606220556</v>
      </c>
    </row>
    <row r="131" customFormat="false" ht="15" hidden="false" customHeight="false" outlineLevel="0" collapsed="false">
      <c r="A131" s="4" t="s">
        <v>349</v>
      </c>
      <c r="B131" s="4" t="s">
        <v>350</v>
      </c>
      <c r="C131" s="4" t="s">
        <v>107</v>
      </c>
      <c r="D131" s="4" t="s">
        <v>79</v>
      </c>
      <c r="E131" s="4" t="s">
        <v>80</v>
      </c>
      <c r="F131" s="4" t="s">
        <v>576</v>
      </c>
      <c r="G131" s="7" t="n">
        <v>1022160.48658994</v>
      </c>
      <c r="H131" s="7" t="n">
        <v>817958.884832501</v>
      </c>
      <c r="I131" s="7" t="n">
        <v>1778.04351085881</v>
      </c>
    </row>
    <row r="132" customFormat="false" ht="15" hidden="false" customHeight="false" outlineLevel="0" collapsed="false">
      <c r="A132" s="4" t="s">
        <v>351</v>
      </c>
      <c r="B132" s="4" t="s">
        <v>352</v>
      </c>
      <c r="C132" s="4" t="s">
        <v>146</v>
      </c>
      <c r="D132" s="4" t="s">
        <v>47</v>
      </c>
      <c r="E132" s="4" t="s">
        <v>48</v>
      </c>
      <c r="F132" s="4" t="s">
        <v>577</v>
      </c>
      <c r="G132" s="7" t="n">
        <v>791585.151738445</v>
      </c>
      <c r="H132" s="7" t="n">
        <v>84389.1438472467</v>
      </c>
      <c r="I132" s="7" t="n">
        <v>38551.4080774339</v>
      </c>
    </row>
    <row r="133" customFormat="false" ht="15" hidden="false" customHeight="false" outlineLevel="0" collapsed="false">
      <c r="A133" s="4" t="s">
        <v>353</v>
      </c>
      <c r="B133" s="4" t="s">
        <v>354</v>
      </c>
      <c r="C133" s="4" t="s">
        <v>115</v>
      </c>
      <c r="D133" s="4" t="s">
        <v>39</v>
      </c>
      <c r="E133" s="4" t="s">
        <v>40</v>
      </c>
      <c r="F133" s="4" t="s">
        <v>513</v>
      </c>
      <c r="G133" s="7" t="n">
        <v>462855.748776056</v>
      </c>
      <c r="H133" s="7" t="n">
        <v>116175.427187235</v>
      </c>
      <c r="I133" s="7" t="n">
        <v>0</v>
      </c>
    </row>
    <row r="134" customFormat="false" ht="15" hidden="false" customHeight="false" outlineLevel="0" collapsed="false">
      <c r="A134" s="4" t="s">
        <v>355</v>
      </c>
      <c r="B134" s="4" t="s">
        <v>356</v>
      </c>
      <c r="C134" s="4" t="s">
        <v>104</v>
      </c>
      <c r="D134" s="4" t="s">
        <v>41</v>
      </c>
      <c r="E134" s="4" t="s">
        <v>42</v>
      </c>
      <c r="F134" s="4" t="s">
        <v>578</v>
      </c>
      <c r="G134" s="7" t="n">
        <v>11580.4703263562</v>
      </c>
      <c r="H134" s="7" t="n">
        <v>2062.76809306306</v>
      </c>
      <c r="I134" s="7" t="n">
        <v>3200</v>
      </c>
    </row>
    <row r="135" customFormat="false" ht="15" hidden="false" customHeight="false" outlineLevel="0" collapsed="false">
      <c r="A135" s="4" t="s">
        <v>357</v>
      </c>
      <c r="B135" s="4" t="s">
        <v>358</v>
      </c>
      <c r="C135" s="4" t="s">
        <v>112</v>
      </c>
      <c r="D135" s="4" t="s">
        <v>79</v>
      </c>
      <c r="E135" s="4" t="s">
        <v>80</v>
      </c>
      <c r="F135" s="4" t="s">
        <v>579</v>
      </c>
      <c r="G135" s="7" t="n">
        <v>1257.53444684871</v>
      </c>
      <c r="H135" s="7" t="n">
        <v>238.458870349973</v>
      </c>
      <c r="I135" s="7" t="n">
        <v>0</v>
      </c>
    </row>
    <row r="136" customFormat="false" ht="15" hidden="false" customHeight="false" outlineLevel="0" collapsed="false">
      <c r="A136" s="4" t="s">
        <v>359</v>
      </c>
      <c r="B136" s="4" t="s">
        <v>360</v>
      </c>
      <c r="C136" s="4" t="s">
        <v>99</v>
      </c>
      <c r="D136" s="4" t="s">
        <v>81</v>
      </c>
      <c r="E136" s="4" t="s">
        <v>82</v>
      </c>
      <c r="F136" s="4" t="s">
        <v>580</v>
      </c>
      <c r="G136" s="7" t="n">
        <v>12382.6703427194</v>
      </c>
      <c r="H136" s="7" t="n">
        <v>12131.5825634791</v>
      </c>
      <c r="I136" s="7" t="n">
        <v>0</v>
      </c>
    </row>
    <row r="137" customFormat="false" ht="15" hidden="false" customHeight="false" outlineLevel="0" collapsed="false">
      <c r="A137" s="4" t="s">
        <v>361</v>
      </c>
      <c r="B137" s="4" t="s">
        <v>362</v>
      </c>
      <c r="C137" s="4" t="s">
        <v>104</v>
      </c>
      <c r="D137" s="4" t="s">
        <v>41</v>
      </c>
      <c r="E137" s="4" t="s">
        <v>42</v>
      </c>
      <c r="F137" s="4" t="s">
        <v>581</v>
      </c>
      <c r="G137" s="7" t="n">
        <v>3372.92015569773</v>
      </c>
      <c r="H137" s="7" t="n">
        <v>11739.3239899926</v>
      </c>
      <c r="I137" s="7" t="n">
        <v>56279.5442123261</v>
      </c>
    </row>
    <row r="138" customFormat="false" ht="15" hidden="false" customHeight="false" outlineLevel="0" collapsed="false">
      <c r="A138" s="4" t="s">
        <v>363</v>
      </c>
      <c r="B138" s="4" t="s">
        <v>364</v>
      </c>
      <c r="C138" s="4" t="s">
        <v>107</v>
      </c>
      <c r="D138" s="4" t="s">
        <v>79</v>
      </c>
      <c r="E138" s="4" t="s">
        <v>80</v>
      </c>
      <c r="F138" s="4" t="s">
        <v>582</v>
      </c>
      <c r="G138" s="7" t="n">
        <v>1077409.10851655</v>
      </c>
      <c r="H138" s="7" t="n">
        <v>2421622.38541156</v>
      </c>
      <c r="I138" s="7" t="n">
        <v>45673.5553084512</v>
      </c>
    </row>
    <row r="139" customFormat="false" ht="15" hidden="false" customHeight="false" outlineLevel="0" collapsed="false">
      <c r="A139" s="4" t="s">
        <v>365</v>
      </c>
      <c r="B139" s="4" t="s">
        <v>366</v>
      </c>
      <c r="C139" s="4" t="s">
        <v>99</v>
      </c>
      <c r="D139" s="4" t="s">
        <v>77</v>
      </c>
      <c r="E139" s="4" t="s">
        <v>78</v>
      </c>
      <c r="F139" s="4" t="s">
        <v>583</v>
      </c>
      <c r="G139" s="7" t="n">
        <v>10.7613053191451</v>
      </c>
      <c r="H139" s="7" t="n">
        <v>1.02613596130069</v>
      </c>
      <c r="I139" s="7" t="n">
        <v>0</v>
      </c>
    </row>
    <row r="140" customFormat="false" ht="15" hidden="false" customHeight="false" outlineLevel="0" collapsed="false">
      <c r="A140" s="4" t="s">
        <v>367</v>
      </c>
      <c r="B140" s="4" t="s">
        <v>368</v>
      </c>
      <c r="C140" s="4" t="s">
        <v>101</v>
      </c>
      <c r="D140" s="4" t="s">
        <v>41</v>
      </c>
      <c r="E140" s="4" t="s">
        <v>42</v>
      </c>
      <c r="F140" s="4" t="s">
        <v>520</v>
      </c>
      <c r="G140" s="7" t="n">
        <v>23</v>
      </c>
      <c r="H140" s="7" t="n">
        <v>200.296564087765</v>
      </c>
      <c r="I140" s="7" t="n">
        <v>0</v>
      </c>
    </row>
    <row r="141" customFormat="false" ht="15" hidden="false" customHeight="false" outlineLevel="0" collapsed="false">
      <c r="A141" s="4" t="s">
        <v>369</v>
      </c>
      <c r="B141" s="4" t="s">
        <v>370</v>
      </c>
      <c r="C141" s="4" t="s">
        <v>104</v>
      </c>
      <c r="D141" s="4" t="s">
        <v>41</v>
      </c>
      <c r="E141" s="4" t="s">
        <v>42</v>
      </c>
      <c r="F141" s="4" t="s">
        <v>584</v>
      </c>
      <c r="G141" s="7" t="n">
        <v>2754.27404592544</v>
      </c>
      <c r="H141" s="7" t="n">
        <v>1404.95146364995</v>
      </c>
      <c r="I141" s="7" t="n">
        <v>0</v>
      </c>
    </row>
    <row r="142" customFormat="false" ht="15" hidden="false" customHeight="false" outlineLevel="0" collapsed="false">
      <c r="A142" s="4" t="s">
        <v>45</v>
      </c>
      <c r="B142" s="4" t="s">
        <v>46</v>
      </c>
      <c r="C142" s="4" t="s">
        <v>158</v>
      </c>
      <c r="D142" s="4" t="s">
        <v>45</v>
      </c>
      <c r="E142" s="4" t="s">
        <v>46</v>
      </c>
      <c r="F142" s="4" t="s">
        <v>585</v>
      </c>
      <c r="G142" s="7" t="n">
        <v>113031.088466324</v>
      </c>
      <c r="H142" s="7" t="n">
        <v>180586.411845023</v>
      </c>
      <c r="I142" s="7" t="n">
        <v>0</v>
      </c>
    </row>
    <row r="143" customFormat="false" ht="15" hidden="false" customHeight="false" outlineLevel="0" collapsed="false">
      <c r="A143" s="4" t="s">
        <v>371</v>
      </c>
      <c r="B143" s="4" t="s">
        <v>372</v>
      </c>
      <c r="C143" s="4" t="s">
        <v>101</v>
      </c>
      <c r="D143" s="4" t="s">
        <v>61</v>
      </c>
      <c r="E143" s="4" t="s">
        <v>62</v>
      </c>
      <c r="F143" s="4" t="s">
        <v>586</v>
      </c>
      <c r="G143" s="7" t="n">
        <v>18474.7563642802</v>
      </c>
      <c r="H143" s="7" t="n">
        <v>3130.43766901944</v>
      </c>
      <c r="I143" s="7" t="n">
        <v>10790.5499141345</v>
      </c>
    </row>
    <row r="144" customFormat="false" ht="15" hidden="false" customHeight="false" outlineLevel="0" collapsed="false">
      <c r="A144" s="4" t="s">
        <v>373</v>
      </c>
      <c r="B144" s="4" t="s">
        <v>374</v>
      </c>
      <c r="C144" s="4" t="s">
        <v>101</v>
      </c>
      <c r="D144" s="4" t="s">
        <v>63</v>
      </c>
      <c r="E144" s="4" t="s">
        <v>64</v>
      </c>
      <c r="F144" s="4" t="s">
        <v>587</v>
      </c>
      <c r="G144" s="7" t="n">
        <v>167.688684392407</v>
      </c>
      <c r="H144" s="7" t="n">
        <v>345.7570973275</v>
      </c>
      <c r="I144" s="7" t="n">
        <v>0.0676584933091566</v>
      </c>
    </row>
    <row r="145" customFormat="false" ht="15" hidden="false" customHeight="false" outlineLevel="0" collapsed="false">
      <c r="A145" s="4" t="s">
        <v>375</v>
      </c>
      <c r="B145" s="4" t="s">
        <v>376</v>
      </c>
      <c r="C145" s="4" t="s">
        <v>101</v>
      </c>
      <c r="D145" s="4" t="s">
        <v>75</v>
      </c>
      <c r="E145" s="4" t="s">
        <v>76</v>
      </c>
      <c r="F145" s="4" t="s">
        <v>508</v>
      </c>
      <c r="G145" s="7" t="n">
        <v>29527.0349046295</v>
      </c>
      <c r="H145" s="7" t="n">
        <v>15099.4655087644</v>
      </c>
      <c r="I145" s="7" t="n">
        <v>129.538556405439</v>
      </c>
    </row>
    <row r="146" customFormat="false" ht="15" hidden="false" customHeight="false" outlineLevel="0" collapsed="false">
      <c r="A146" s="4" t="s">
        <v>377</v>
      </c>
      <c r="B146" s="4" t="s">
        <v>378</v>
      </c>
      <c r="C146" s="4" t="s">
        <v>101</v>
      </c>
      <c r="D146" s="4" t="s">
        <v>57</v>
      </c>
      <c r="E146" s="4" t="s">
        <v>58</v>
      </c>
      <c r="F146" s="4" t="s">
        <v>588</v>
      </c>
      <c r="G146" s="7" t="n">
        <v>616.941949089912</v>
      </c>
      <c r="H146" s="7" t="n">
        <v>193.906349820144</v>
      </c>
      <c r="I146" s="7" t="n">
        <v>0</v>
      </c>
    </row>
    <row r="147" customFormat="false" ht="15" hidden="false" customHeight="false" outlineLevel="0" collapsed="false">
      <c r="A147" s="4" t="s">
        <v>379</v>
      </c>
      <c r="B147" s="4" t="s">
        <v>380</v>
      </c>
      <c r="C147" s="4" t="s">
        <v>146</v>
      </c>
      <c r="D147" s="4" t="s">
        <v>47</v>
      </c>
      <c r="E147" s="4" t="s">
        <v>48</v>
      </c>
      <c r="F147" s="4" t="s">
        <v>589</v>
      </c>
      <c r="G147" s="7" t="n">
        <v>301.882764924033</v>
      </c>
      <c r="H147" s="7" t="n">
        <v>31.6253784575079</v>
      </c>
      <c r="I147" s="7" t="n">
        <v>0</v>
      </c>
    </row>
    <row r="148" customFormat="false" ht="15" hidden="false" customHeight="false" outlineLevel="0" collapsed="false">
      <c r="A148" s="4" t="s">
        <v>381</v>
      </c>
      <c r="B148" s="4" t="s">
        <v>382</v>
      </c>
      <c r="C148" s="4" t="s">
        <v>115</v>
      </c>
      <c r="D148" s="4" t="s">
        <v>39</v>
      </c>
      <c r="E148" s="4" t="s">
        <v>40</v>
      </c>
      <c r="F148" s="4" t="s">
        <v>513</v>
      </c>
      <c r="G148" s="7" t="n">
        <v>25412.0518739158</v>
      </c>
      <c r="H148" s="7" t="n">
        <v>747.017999463542</v>
      </c>
      <c r="I148" s="7" t="n">
        <v>0</v>
      </c>
    </row>
    <row r="149" customFormat="false" ht="15" hidden="false" customHeight="false" outlineLevel="0" collapsed="false">
      <c r="A149" s="4" t="s">
        <v>383</v>
      </c>
      <c r="B149" s="4" t="s">
        <v>384</v>
      </c>
      <c r="C149" s="4" t="s">
        <v>101</v>
      </c>
      <c r="D149" s="4" t="s">
        <v>57</v>
      </c>
      <c r="E149" s="4" t="s">
        <v>58</v>
      </c>
      <c r="F149" s="4" t="s">
        <v>498</v>
      </c>
      <c r="G149" s="7" t="n">
        <v>26597.8786271364</v>
      </c>
      <c r="H149" s="7" t="n">
        <v>8422.76670632105</v>
      </c>
      <c r="I149" s="7" t="n">
        <v>235.299406189946</v>
      </c>
    </row>
    <row r="150" customFormat="false" ht="15" hidden="false" customHeight="false" outlineLevel="0" collapsed="false">
      <c r="A150" s="4" t="s">
        <v>385</v>
      </c>
      <c r="B150" s="4" t="s">
        <v>386</v>
      </c>
      <c r="C150" s="4" t="s">
        <v>112</v>
      </c>
      <c r="D150" s="4" t="s">
        <v>79</v>
      </c>
      <c r="E150" s="4" t="s">
        <v>80</v>
      </c>
      <c r="F150" s="4" t="s">
        <v>590</v>
      </c>
      <c r="G150" s="7" t="n">
        <v>12008.771280269</v>
      </c>
      <c r="H150" s="7" t="n">
        <v>210.998156955026</v>
      </c>
      <c r="I150" s="7" t="n">
        <v>124.702666025185</v>
      </c>
    </row>
    <row r="151" customFormat="false" ht="15" hidden="false" customHeight="false" outlineLevel="0" collapsed="false">
      <c r="A151" s="4" t="s">
        <v>387</v>
      </c>
      <c r="B151" s="4" t="s">
        <v>388</v>
      </c>
      <c r="C151" s="4" t="s">
        <v>101</v>
      </c>
      <c r="D151" s="4" t="s">
        <v>75</v>
      </c>
      <c r="E151" s="4" t="s">
        <v>76</v>
      </c>
      <c r="F151" s="4" t="s">
        <v>508</v>
      </c>
      <c r="G151" s="7" t="n">
        <v>1231.71529257263</v>
      </c>
      <c r="H151" s="7" t="n">
        <v>1798.40666290371</v>
      </c>
      <c r="I151" s="7" t="n">
        <v>0</v>
      </c>
    </row>
    <row r="152" customFormat="false" ht="15" hidden="false" customHeight="false" outlineLevel="0" collapsed="false">
      <c r="A152" s="4" t="s">
        <v>389</v>
      </c>
      <c r="B152" s="4" t="s">
        <v>390</v>
      </c>
      <c r="C152" s="4" t="s">
        <v>104</v>
      </c>
      <c r="D152" s="4" t="s">
        <v>43</v>
      </c>
      <c r="E152" s="4" t="s">
        <v>44</v>
      </c>
      <c r="F152" s="4" t="s">
        <v>591</v>
      </c>
      <c r="G152" s="7" t="n">
        <v>3090.58867560807</v>
      </c>
      <c r="H152" s="7" t="n">
        <v>617.291438925353</v>
      </c>
      <c r="I152" s="7" t="n">
        <v>16091.2921939065</v>
      </c>
    </row>
    <row r="153" customFormat="false" ht="15" hidden="false" customHeight="false" outlineLevel="0" collapsed="false">
      <c r="A153" s="4" t="s">
        <v>391</v>
      </c>
      <c r="B153" s="4" t="s">
        <v>392</v>
      </c>
      <c r="C153" s="4" t="s">
        <v>104</v>
      </c>
      <c r="D153" s="4" t="s">
        <v>43</v>
      </c>
      <c r="E153" s="4" t="s">
        <v>44</v>
      </c>
      <c r="F153" s="4" t="s">
        <v>592</v>
      </c>
      <c r="G153" s="7" t="n">
        <v>411.027890425632</v>
      </c>
      <c r="H153" s="7" t="n">
        <v>126.247431606264</v>
      </c>
      <c r="I153" s="7" t="n">
        <v>6615.46542011788</v>
      </c>
    </row>
    <row r="154" customFormat="false" ht="15" hidden="false" customHeight="false" outlineLevel="0" collapsed="false">
      <c r="A154" s="4" t="s">
        <v>393</v>
      </c>
      <c r="B154" s="4" t="s">
        <v>394</v>
      </c>
      <c r="C154" s="4" t="s">
        <v>101</v>
      </c>
      <c r="D154" s="4" t="s">
        <v>75</v>
      </c>
      <c r="E154" s="4" t="s">
        <v>76</v>
      </c>
      <c r="F154" s="4" t="s">
        <v>508</v>
      </c>
      <c r="G154" s="7" t="n">
        <v>8944.58156867592</v>
      </c>
      <c r="H154" s="7" t="n">
        <v>17638.0957983074</v>
      </c>
      <c r="I154" s="7" t="n">
        <v>0</v>
      </c>
    </row>
    <row r="155" customFormat="false" ht="15" hidden="false" customHeight="false" outlineLevel="0" collapsed="false">
      <c r="A155" s="4" t="s">
        <v>395</v>
      </c>
      <c r="B155" s="4" t="s">
        <v>396</v>
      </c>
      <c r="C155" s="4" t="s">
        <v>101</v>
      </c>
      <c r="D155" s="4" t="s">
        <v>59</v>
      </c>
      <c r="E155" s="4" t="s">
        <v>60</v>
      </c>
      <c r="F155" s="4" t="s">
        <v>593</v>
      </c>
      <c r="G155" s="7" t="n">
        <v>6.61337813720703</v>
      </c>
      <c r="H155" s="7" t="n">
        <v>12.6911370422363</v>
      </c>
      <c r="I155" s="7" t="n">
        <v>0</v>
      </c>
    </row>
    <row r="156" customFormat="false" ht="15" hidden="false" customHeight="false" outlineLevel="0" collapsed="false">
      <c r="A156" s="4" t="s">
        <v>397</v>
      </c>
      <c r="B156" s="4" t="s">
        <v>398</v>
      </c>
      <c r="C156" s="4" t="s">
        <v>107</v>
      </c>
      <c r="D156" s="4" t="s">
        <v>79</v>
      </c>
      <c r="E156" s="4" t="s">
        <v>80</v>
      </c>
      <c r="F156" s="4" t="s">
        <v>524</v>
      </c>
      <c r="G156" s="7" t="n">
        <v>7794.42152436334</v>
      </c>
      <c r="H156" s="7" t="n">
        <v>13569.8212589525</v>
      </c>
      <c r="I156" s="7" t="n">
        <v>0</v>
      </c>
    </row>
    <row r="157" customFormat="false" ht="15" hidden="false" customHeight="false" outlineLevel="0" collapsed="false">
      <c r="A157" s="4" t="s">
        <v>399</v>
      </c>
      <c r="B157" s="4" t="s">
        <v>400</v>
      </c>
      <c r="C157" s="4" t="s">
        <v>104</v>
      </c>
      <c r="D157" s="4" t="s">
        <v>41</v>
      </c>
      <c r="E157" s="4" t="s">
        <v>42</v>
      </c>
      <c r="F157" s="4" t="s">
        <v>594</v>
      </c>
      <c r="G157" s="7" t="n">
        <v>1523.90617081741</v>
      </c>
      <c r="H157" s="7" t="n">
        <v>663.441132979421</v>
      </c>
      <c r="I157" s="7" t="n">
        <v>6306</v>
      </c>
    </row>
    <row r="158" customFormat="false" ht="15" hidden="false" customHeight="false" outlineLevel="0" collapsed="false">
      <c r="A158" s="4" t="s">
        <v>401</v>
      </c>
      <c r="B158" s="4" t="s">
        <v>402</v>
      </c>
      <c r="C158" s="4" t="s">
        <v>104</v>
      </c>
      <c r="D158" s="4" t="s">
        <v>41</v>
      </c>
      <c r="E158" s="4" t="s">
        <v>42</v>
      </c>
      <c r="F158" s="4" t="s">
        <v>595</v>
      </c>
      <c r="G158" s="7" t="n">
        <v>864.349040068749</v>
      </c>
      <c r="H158" s="7" t="n">
        <v>1061.19403355485</v>
      </c>
      <c r="I158" s="7" t="n">
        <v>0</v>
      </c>
    </row>
    <row r="159" customFormat="false" ht="15" hidden="false" customHeight="false" outlineLevel="0" collapsed="false">
      <c r="A159" s="4" t="s">
        <v>403</v>
      </c>
      <c r="B159" s="4" t="s">
        <v>404</v>
      </c>
      <c r="C159" s="4" t="s">
        <v>104</v>
      </c>
      <c r="D159" s="4" t="s">
        <v>41</v>
      </c>
      <c r="E159" s="4" t="s">
        <v>42</v>
      </c>
      <c r="F159" s="4" t="s">
        <v>596</v>
      </c>
      <c r="G159" s="7" t="n">
        <v>7633.89251803853</v>
      </c>
      <c r="H159" s="7" t="n">
        <v>7492.45685398502</v>
      </c>
      <c r="I159" s="7" t="n">
        <v>65100</v>
      </c>
    </row>
    <row r="160" customFormat="false" ht="15" hidden="false" customHeight="false" outlineLevel="0" collapsed="false">
      <c r="A160" s="4" t="s">
        <v>405</v>
      </c>
      <c r="B160" s="4" t="s">
        <v>406</v>
      </c>
      <c r="C160" s="4" t="s">
        <v>101</v>
      </c>
      <c r="D160" s="4" t="s">
        <v>69</v>
      </c>
      <c r="E160" s="4" t="s">
        <v>70</v>
      </c>
      <c r="F160" s="4" t="s">
        <v>597</v>
      </c>
      <c r="G160" s="7" t="n">
        <v>4045.93954267341</v>
      </c>
      <c r="H160" s="7" t="n">
        <v>814.459202175552</v>
      </c>
      <c r="I160" s="7" t="n">
        <v>0</v>
      </c>
    </row>
    <row r="161" customFormat="false" ht="15" hidden="false" customHeight="false" outlineLevel="0" collapsed="false">
      <c r="A161" s="4" t="s">
        <v>407</v>
      </c>
      <c r="B161" s="4" t="s">
        <v>408</v>
      </c>
      <c r="C161" s="4" t="s">
        <v>101</v>
      </c>
      <c r="D161" s="4" t="s">
        <v>75</v>
      </c>
      <c r="E161" s="4" t="s">
        <v>76</v>
      </c>
      <c r="F161" s="4" t="s">
        <v>508</v>
      </c>
      <c r="G161" s="7" t="n">
        <v>2.12985251471203</v>
      </c>
      <c r="H161" s="7" t="n">
        <v>0.451484204037968</v>
      </c>
      <c r="I161" s="7" t="n">
        <v>0</v>
      </c>
    </row>
    <row r="162" customFormat="false" ht="15" hidden="false" customHeight="false" outlineLevel="0" collapsed="false">
      <c r="A162" s="4" t="s">
        <v>409</v>
      </c>
      <c r="B162" s="4" t="s">
        <v>410</v>
      </c>
      <c r="C162" s="4" t="s">
        <v>99</v>
      </c>
      <c r="D162" s="4" t="s">
        <v>77</v>
      </c>
      <c r="E162" s="4" t="s">
        <v>78</v>
      </c>
      <c r="F162" s="4" t="s">
        <v>598</v>
      </c>
      <c r="G162" s="7" t="n">
        <v>1225.93115215734</v>
      </c>
      <c r="H162" s="7" t="n">
        <v>16.6136775667024</v>
      </c>
      <c r="I162" s="7" t="n">
        <v>28.2615221109405</v>
      </c>
    </row>
    <row r="163" customFormat="false" ht="15" hidden="false" customHeight="false" outlineLevel="0" collapsed="false">
      <c r="A163" s="4" t="s">
        <v>411</v>
      </c>
      <c r="B163" s="4" t="s">
        <v>412</v>
      </c>
      <c r="C163" s="4" t="s">
        <v>101</v>
      </c>
      <c r="D163" s="4" t="s">
        <v>63</v>
      </c>
      <c r="E163" s="4" t="s">
        <v>64</v>
      </c>
      <c r="F163" s="4" t="s">
        <v>599</v>
      </c>
      <c r="G163" s="7" t="n">
        <v>59788.3542115564</v>
      </c>
      <c r="H163" s="7" t="n">
        <v>36869.336186373</v>
      </c>
      <c r="I163" s="7" t="n">
        <v>0</v>
      </c>
    </row>
    <row r="164" customFormat="false" ht="15" hidden="false" customHeight="false" outlineLevel="0" collapsed="false">
      <c r="A164" s="4" t="s">
        <v>413</v>
      </c>
      <c r="B164" s="4" t="s">
        <v>414</v>
      </c>
      <c r="C164" s="4" t="s">
        <v>101</v>
      </c>
      <c r="D164" s="4" t="s">
        <v>57</v>
      </c>
      <c r="E164" s="4" t="s">
        <v>58</v>
      </c>
      <c r="F164" s="4" t="s">
        <v>600</v>
      </c>
      <c r="G164" s="7" t="n">
        <v>15455.2769003345</v>
      </c>
      <c r="H164" s="7" t="n">
        <v>1484.74215925113</v>
      </c>
      <c r="I164" s="7" t="n">
        <v>19.7803973057923</v>
      </c>
    </row>
    <row r="165" customFormat="false" ht="15" hidden="false" customHeight="false" outlineLevel="0" collapsed="false">
      <c r="A165" s="4" t="s">
        <v>415</v>
      </c>
      <c r="B165" s="4" t="s">
        <v>416</v>
      </c>
      <c r="C165" s="4" t="s">
        <v>146</v>
      </c>
      <c r="D165" s="4" t="s">
        <v>47</v>
      </c>
      <c r="E165" s="4" t="s">
        <v>48</v>
      </c>
      <c r="F165" s="4" t="s">
        <v>601</v>
      </c>
      <c r="G165" s="7" t="n">
        <v>1120210.46436053</v>
      </c>
      <c r="H165" s="7" t="n">
        <v>213524.16715773</v>
      </c>
      <c r="I165" s="7" t="n">
        <v>13706.5326062677</v>
      </c>
    </row>
    <row r="166" customFormat="false" ht="15" hidden="false" customHeight="false" outlineLevel="0" collapsed="false">
      <c r="A166" s="4" t="s">
        <v>417</v>
      </c>
      <c r="B166" s="4" t="s">
        <v>418</v>
      </c>
      <c r="C166" s="4" t="s">
        <v>99</v>
      </c>
      <c r="D166" s="4" t="s">
        <v>43</v>
      </c>
      <c r="E166" s="4" t="s">
        <v>44</v>
      </c>
      <c r="F166" s="4" t="s">
        <v>602</v>
      </c>
      <c r="G166" s="7" t="n">
        <v>130.570318655876</v>
      </c>
      <c r="H166" s="7" t="n">
        <v>53.5198372297676</v>
      </c>
      <c r="I166" s="7" t="n">
        <v>6.26632002361308</v>
      </c>
    </row>
    <row r="167" customFormat="false" ht="15" hidden="false" customHeight="false" outlineLevel="0" collapsed="false">
      <c r="A167" s="4" t="s">
        <v>419</v>
      </c>
      <c r="B167" s="4" t="s">
        <v>420</v>
      </c>
      <c r="C167" s="4" t="s">
        <v>99</v>
      </c>
      <c r="D167" s="4" t="s">
        <v>43</v>
      </c>
      <c r="E167" s="4" t="s">
        <v>44</v>
      </c>
      <c r="F167" s="4" t="s">
        <v>603</v>
      </c>
      <c r="G167" s="7" t="n">
        <v>123.804260943923</v>
      </c>
      <c r="H167" s="7" t="n">
        <v>22.9050872650185</v>
      </c>
      <c r="I167" s="7" t="n">
        <v>0</v>
      </c>
    </row>
    <row r="168" customFormat="false" ht="15" hidden="false" customHeight="false" outlineLevel="0" collapsed="false">
      <c r="A168" s="4" t="s">
        <v>421</v>
      </c>
      <c r="B168" s="4" t="s">
        <v>422</v>
      </c>
      <c r="C168" s="4" t="s">
        <v>146</v>
      </c>
      <c r="D168" s="4" t="s">
        <v>81</v>
      </c>
      <c r="E168" s="4" t="s">
        <v>82</v>
      </c>
      <c r="F168" s="4" t="s">
        <v>558</v>
      </c>
      <c r="G168" s="7" t="n">
        <v>3008.91744848199</v>
      </c>
      <c r="H168" s="7" t="n">
        <v>549.802501703029</v>
      </c>
      <c r="I168" s="7" t="n">
        <v>0</v>
      </c>
    </row>
    <row r="169" customFormat="false" ht="15" hidden="false" customHeight="false" outlineLevel="0" collapsed="false">
      <c r="A169" s="4" t="s">
        <v>423</v>
      </c>
      <c r="B169" s="4" t="s">
        <v>424</v>
      </c>
      <c r="C169" s="4" t="s">
        <v>107</v>
      </c>
      <c r="D169" s="4" t="s">
        <v>79</v>
      </c>
      <c r="E169" s="4" t="s">
        <v>80</v>
      </c>
      <c r="F169" s="4" t="s">
        <v>604</v>
      </c>
      <c r="G169" s="7" t="n">
        <v>499.731264930281</v>
      </c>
      <c r="H169" s="7" t="n">
        <v>395.962307875163</v>
      </c>
      <c r="I169" s="7" t="n">
        <v>0</v>
      </c>
    </row>
    <row r="170" customFormat="false" ht="15" hidden="false" customHeight="false" outlineLevel="0" collapsed="false">
      <c r="A170" s="4" t="s">
        <v>425</v>
      </c>
      <c r="B170" s="4" t="s">
        <v>426</v>
      </c>
      <c r="C170" s="4" t="s">
        <v>101</v>
      </c>
      <c r="D170" s="4" t="s">
        <v>55</v>
      </c>
      <c r="E170" s="4" t="s">
        <v>56</v>
      </c>
      <c r="F170" s="4" t="s">
        <v>605</v>
      </c>
      <c r="G170" s="7" t="n">
        <v>751.128718413102</v>
      </c>
      <c r="H170" s="7" t="n">
        <v>118.224614165813</v>
      </c>
      <c r="I170" s="7" t="n">
        <v>17.6012578918693</v>
      </c>
    </row>
    <row r="171" customFormat="false" ht="15" hidden="false" customHeight="false" outlineLevel="0" collapsed="false">
      <c r="A171" s="4" t="s">
        <v>427</v>
      </c>
      <c r="B171" s="4" t="s">
        <v>428</v>
      </c>
      <c r="C171" s="4" t="s">
        <v>99</v>
      </c>
      <c r="D171" s="4" t="s">
        <v>43</v>
      </c>
      <c r="E171" s="4" t="s">
        <v>44</v>
      </c>
      <c r="F171" s="4" t="s">
        <v>606</v>
      </c>
      <c r="G171" s="7" t="n">
        <v>14860.0461095393</v>
      </c>
      <c r="H171" s="7" t="n">
        <v>5560.72181282273</v>
      </c>
      <c r="I171" s="7" t="n">
        <v>11215.4296790146</v>
      </c>
    </row>
    <row r="172" customFormat="false" ht="15" hidden="false" customHeight="false" outlineLevel="0" collapsed="false">
      <c r="A172" s="4" t="s">
        <v>429</v>
      </c>
      <c r="B172" s="4" t="s">
        <v>430</v>
      </c>
      <c r="C172" s="4" t="s">
        <v>99</v>
      </c>
      <c r="D172" s="4" t="s">
        <v>47</v>
      </c>
      <c r="E172" s="4" t="s">
        <v>48</v>
      </c>
      <c r="F172" s="4" t="s">
        <v>607</v>
      </c>
      <c r="G172" s="7" t="n">
        <v>1444.23841822168</v>
      </c>
      <c r="H172" s="7" t="n">
        <v>319.565087293575</v>
      </c>
      <c r="I172" s="7" t="n">
        <v>2182.27345499646</v>
      </c>
    </row>
    <row r="173" customFormat="false" ht="15" hidden="false" customHeight="false" outlineLevel="0" collapsed="false">
      <c r="A173" s="4" t="s">
        <v>431</v>
      </c>
      <c r="B173" s="4" t="s">
        <v>432</v>
      </c>
      <c r="C173" s="4" t="s">
        <v>101</v>
      </c>
      <c r="D173" s="4" t="s">
        <v>61</v>
      </c>
      <c r="E173" s="4" t="s">
        <v>62</v>
      </c>
      <c r="F173" s="4" t="s">
        <v>608</v>
      </c>
      <c r="G173" s="7" t="n">
        <v>935472.62950154</v>
      </c>
      <c r="H173" s="7" t="n">
        <v>61112.2268849408</v>
      </c>
      <c r="I173" s="7" t="n">
        <v>0</v>
      </c>
    </row>
    <row r="174" customFormat="false" ht="15" hidden="false" customHeight="false" outlineLevel="0" collapsed="false">
      <c r="A174" s="4" t="s">
        <v>433</v>
      </c>
      <c r="B174" s="4" t="s">
        <v>434</v>
      </c>
      <c r="C174" s="4" t="s">
        <v>101</v>
      </c>
      <c r="D174" s="4" t="s">
        <v>61</v>
      </c>
      <c r="E174" s="4" t="s">
        <v>62</v>
      </c>
      <c r="F174" s="4" t="s">
        <v>609</v>
      </c>
      <c r="G174" s="7" t="n">
        <v>222826.249594918</v>
      </c>
      <c r="H174" s="7" t="n">
        <v>35024.6989318206</v>
      </c>
      <c r="I174" s="7" t="n">
        <v>17449.8512379197</v>
      </c>
    </row>
    <row r="175" customFormat="false" ht="15" hidden="false" customHeight="false" outlineLevel="0" collapsed="false">
      <c r="A175" s="4" t="s">
        <v>435</v>
      </c>
      <c r="B175" s="4" t="s">
        <v>436</v>
      </c>
      <c r="C175" s="4" t="s">
        <v>104</v>
      </c>
      <c r="D175" s="4" t="s">
        <v>43</v>
      </c>
      <c r="E175" s="4" t="s">
        <v>44</v>
      </c>
      <c r="F175" s="4" t="s">
        <v>610</v>
      </c>
      <c r="G175" s="7" t="n">
        <v>26720.817447582</v>
      </c>
      <c r="H175" s="7" t="n">
        <v>1195.87744768107</v>
      </c>
      <c r="I175" s="7" t="n">
        <v>41521.8106995887</v>
      </c>
    </row>
    <row r="176" customFormat="false" ht="15" hidden="false" customHeight="false" outlineLevel="0" collapsed="false">
      <c r="A176" s="4" t="s">
        <v>437</v>
      </c>
      <c r="B176" s="4" t="s">
        <v>438</v>
      </c>
      <c r="C176" s="4" t="s">
        <v>107</v>
      </c>
      <c r="D176" s="4" t="s">
        <v>79</v>
      </c>
      <c r="E176" s="4" t="s">
        <v>80</v>
      </c>
      <c r="F176" s="4" t="s">
        <v>611</v>
      </c>
      <c r="G176" s="7" t="n">
        <v>33598.9866313335</v>
      </c>
      <c r="H176" s="7" t="n">
        <v>21707.3572862857</v>
      </c>
      <c r="I176" s="7" t="n">
        <v>23674.9359428059</v>
      </c>
    </row>
    <row r="177" customFormat="false" ht="15" hidden="false" customHeight="false" outlineLevel="0" collapsed="false">
      <c r="A177" s="4" t="s">
        <v>31</v>
      </c>
      <c r="B177" s="4" t="s">
        <v>439</v>
      </c>
      <c r="C177" s="4" t="s">
        <v>112</v>
      </c>
      <c r="D177" s="4" t="s">
        <v>31</v>
      </c>
      <c r="E177" s="4" t="s">
        <v>32</v>
      </c>
      <c r="F177" s="4" t="s">
        <v>612</v>
      </c>
      <c r="G177" s="7" t="n">
        <v>532515.806848222</v>
      </c>
      <c r="H177" s="7" t="n">
        <v>1420836.10584194</v>
      </c>
      <c r="I177" s="7" t="n">
        <v>4531200</v>
      </c>
    </row>
    <row r="178" customFormat="false" ht="15" hidden="false" customHeight="false" outlineLevel="0" collapsed="false">
      <c r="A178" s="4" t="s">
        <v>440</v>
      </c>
      <c r="B178" s="4" t="s">
        <v>441</v>
      </c>
      <c r="C178" s="4" t="s">
        <v>99</v>
      </c>
      <c r="D178" s="4" t="s">
        <v>43</v>
      </c>
      <c r="E178" s="4" t="s">
        <v>44</v>
      </c>
      <c r="F178" s="4" t="s">
        <v>613</v>
      </c>
      <c r="G178" s="7" t="n">
        <v>317.984444176421</v>
      </c>
      <c r="H178" s="7" t="n">
        <v>20.4527918885991</v>
      </c>
      <c r="I178" s="7" t="n">
        <v>187.553402100048</v>
      </c>
    </row>
    <row r="179" customFormat="false" ht="15" hidden="false" customHeight="false" outlineLevel="0" collapsed="false">
      <c r="A179" s="4" t="s">
        <v>442</v>
      </c>
      <c r="B179" s="4" t="s">
        <v>443</v>
      </c>
      <c r="C179" s="4" t="s">
        <v>112</v>
      </c>
      <c r="D179" s="4" t="s">
        <v>79</v>
      </c>
      <c r="E179" s="4" t="s">
        <v>80</v>
      </c>
      <c r="F179" s="4" t="s">
        <v>469</v>
      </c>
      <c r="G179" s="7" t="n">
        <v>22.4885823591896</v>
      </c>
      <c r="H179" s="7" t="n">
        <v>11.2383573646432</v>
      </c>
      <c r="I179" s="7" t="n">
        <v>13.5636386925372</v>
      </c>
    </row>
    <row r="180" customFormat="false" ht="15" hidden="false" customHeight="false" outlineLevel="0" collapsed="false">
      <c r="A180" s="4" t="s">
        <v>444</v>
      </c>
      <c r="B180" s="4" t="s">
        <v>445</v>
      </c>
      <c r="C180" s="4" t="s">
        <v>107</v>
      </c>
      <c r="D180" s="4" t="s">
        <v>79</v>
      </c>
      <c r="E180" s="4" t="s">
        <v>80</v>
      </c>
      <c r="F180" s="4" t="s">
        <v>614</v>
      </c>
      <c r="G180" s="7" t="n">
        <v>278536.402259276</v>
      </c>
      <c r="H180" s="7" t="n">
        <v>446774.502510531</v>
      </c>
      <c r="I180" s="7" t="n">
        <v>6641.95358614511</v>
      </c>
    </row>
    <row r="181" customFormat="false" ht="15" hidden="false" customHeight="false" outlineLevel="0" collapsed="false">
      <c r="A181" s="4" t="s">
        <v>446</v>
      </c>
      <c r="B181" s="4" t="s">
        <v>447</v>
      </c>
      <c r="C181" s="4" t="s">
        <v>146</v>
      </c>
      <c r="D181" s="4" t="s">
        <v>81</v>
      </c>
      <c r="E181" s="4" t="s">
        <v>82</v>
      </c>
      <c r="F181" s="4" t="s">
        <v>615</v>
      </c>
      <c r="G181" s="7" t="n">
        <v>1241691.03966407</v>
      </c>
      <c r="H181" s="7" t="n">
        <v>207801.068147458</v>
      </c>
      <c r="I181" s="7" t="n">
        <v>869079.452758901</v>
      </c>
    </row>
    <row r="182" customFormat="false" ht="15" hidden="false" customHeight="false" outlineLevel="0" collapsed="false">
      <c r="A182" s="4" t="s">
        <v>448</v>
      </c>
      <c r="B182" s="4" t="s">
        <v>449</v>
      </c>
      <c r="C182" s="4" t="s">
        <v>115</v>
      </c>
      <c r="D182" s="4" t="s">
        <v>39</v>
      </c>
      <c r="E182" s="4" t="s">
        <v>40</v>
      </c>
      <c r="F182" s="4" t="s">
        <v>513</v>
      </c>
      <c r="G182" s="7" t="n">
        <v>1086.46440883745</v>
      </c>
      <c r="H182" s="7" t="n">
        <v>284.636753282314</v>
      </c>
      <c r="I182" s="7" t="n">
        <v>0</v>
      </c>
    </row>
    <row r="183" customFormat="false" ht="15" hidden="false" customHeight="false" outlineLevel="0" collapsed="false">
      <c r="A183" s="4" t="s">
        <v>450</v>
      </c>
      <c r="B183" s="4" t="s">
        <v>451</v>
      </c>
      <c r="C183" s="4" t="s">
        <v>99</v>
      </c>
      <c r="D183" s="4" t="s">
        <v>77</v>
      </c>
      <c r="E183" s="4" t="s">
        <v>78</v>
      </c>
      <c r="F183" s="4" t="s">
        <v>616</v>
      </c>
      <c r="G183" s="7" t="n">
        <v>0.13179444177802</v>
      </c>
      <c r="H183" s="7" t="n">
        <v>0.0928112039739336</v>
      </c>
      <c r="I183" s="7" t="n">
        <v>0</v>
      </c>
    </row>
    <row r="184" customFormat="false" ht="15" hidden="false" customHeight="false" outlineLevel="0" collapsed="false">
      <c r="A184" s="4" t="s">
        <v>452</v>
      </c>
      <c r="B184" s="4" t="s">
        <v>453</v>
      </c>
      <c r="C184" s="4" t="s">
        <v>101</v>
      </c>
      <c r="D184" s="4" t="s">
        <v>69</v>
      </c>
      <c r="E184" s="4" t="s">
        <v>70</v>
      </c>
      <c r="F184" s="4" t="s">
        <v>617</v>
      </c>
      <c r="G184" s="7" t="n">
        <v>42029.3171197247</v>
      </c>
      <c r="H184" s="7" t="n">
        <v>109428.517616338</v>
      </c>
      <c r="I184" s="7" t="n">
        <v>0</v>
      </c>
    </row>
    <row r="185" customFormat="false" ht="15" hidden="false" customHeight="false" outlineLevel="0" collapsed="false">
      <c r="A185" s="4" t="s">
        <v>454</v>
      </c>
      <c r="B185" s="4" t="s">
        <v>455</v>
      </c>
      <c r="C185" s="4" t="s">
        <v>101</v>
      </c>
      <c r="D185" s="4" t="s">
        <v>65</v>
      </c>
      <c r="E185" s="4" t="s">
        <v>66</v>
      </c>
      <c r="F185" s="4" t="s">
        <v>618</v>
      </c>
      <c r="G185" s="7" t="n">
        <v>569650.776791305</v>
      </c>
      <c r="H185" s="7" t="n">
        <v>120747.725264133</v>
      </c>
      <c r="I185" s="7" t="n">
        <v>0</v>
      </c>
    </row>
    <row r="186" customFormat="false" ht="15" hidden="false" customHeight="false" outlineLevel="0" collapsed="false">
      <c r="A186" s="4" t="s">
        <v>456</v>
      </c>
      <c r="B186" s="4" t="s">
        <v>457</v>
      </c>
      <c r="C186" s="4" t="s">
        <v>101</v>
      </c>
      <c r="D186" s="4" t="s">
        <v>61</v>
      </c>
      <c r="E186" s="4" t="s">
        <v>62</v>
      </c>
      <c r="F186" s="4" t="s">
        <v>619</v>
      </c>
      <c r="G186" s="7" t="n">
        <v>66731.2866815082</v>
      </c>
      <c r="H186" s="7" t="n">
        <v>18804.1584686804</v>
      </c>
      <c r="I186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2026-10-06T14:57:22Z</dcterms:created>
  <dc:creator>openpyxl</dc:creator>
  <dc:description/>
  <dc:language>en-US</dc:language>
  <cp:lastModifiedBy/>
  <dcterms:modified xsi:type="dcterms:W3CDTF">2026-10-06T14:57:24Z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